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T intern(DA)\Day - 05\"/>
    </mc:Choice>
  </mc:AlternateContent>
  <xr:revisionPtr revIDLastSave="0" documentId="13_ncr:1_{9C929A7C-58A4-4C33-B39A-6DEBF0A379B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_Data" sheetId="1" r:id="rId1"/>
    <sheet name="Working" sheetId="3" r:id="rId2"/>
    <sheet name="Summary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6" i="4"/>
  <c r="B5" i="4"/>
  <c r="B4" i="4"/>
  <c r="B3" i="4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<sst xmlns="http://schemas.openxmlformats.org/spreadsheetml/2006/main" count="3097" uniqueCount="587">
  <si>
    <t>Order ID</t>
  </si>
  <si>
    <t>Order Date</t>
  </si>
  <si>
    <t>Region</t>
  </si>
  <si>
    <t>City</t>
  </si>
  <si>
    <t>Segment</t>
  </si>
  <si>
    <t>Category</t>
  </si>
  <si>
    <t>Sub-Category</t>
  </si>
  <si>
    <t>Quantity</t>
  </si>
  <si>
    <t>Unit Price</t>
  </si>
  <si>
    <t>Discount</t>
  </si>
  <si>
    <t>Sales</t>
  </si>
  <si>
    <t>Profit</t>
  </si>
  <si>
    <t>ORD-0001</t>
  </si>
  <si>
    <t>East</t>
  </si>
  <si>
    <t>Houston</t>
  </si>
  <si>
    <t>Corporate</t>
  </si>
  <si>
    <t>Furniture</t>
  </si>
  <si>
    <t>Bookcases</t>
  </si>
  <si>
    <t>ORD-0002</t>
  </si>
  <si>
    <t>New York</t>
  </si>
  <si>
    <t>Consumer</t>
  </si>
  <si>
    <t>Technology</t>
  </si>
  <si>
    <t>Accessories</t>
  </si>
  <si>
    <t>ORD-0003</t>
  </si>
  <si>
    <t>West</t>
  </si>
  <si>
    <t>Atlanta</t>
  </si>
  <si>
    <t>Home Office</t>
  </si>
  <si>
    <t>Machines</t>
  </si>
  <si>
    <t>ORD-0004</t>
  </si>
  <si>
    <t>Seattle</t>
  </si>
  <si>
    <t>ORD-0005</t>
  </si>
  <si>
    <t>Office Supplies</t>
  </si>
  <si>
    <t>Paper</t>
  </si>
  <si>
    <t>ORD-0006</t>
  </si>
  <si>
    <t>Dallas</t>
  </si>
  <si>
    <t>ORD-0007</t>
  </si>
  <si>
    <t>Chairs</t>
  </si>
  <si>
    <t>ORD-0008</t>
  </si>
  <si>
    <t>Los Angeles</t>
  </si>
  <si>
    <t>ORD-0009</t>
  </si>
  <si>
    <t>Central</t>
  </si>
  <si>
    <t>ORD-0010</t>
  </si>
  <si>
    <t>ORD-0011</t>
  </si>
  <si>
    <t>South</t>
  </si>
  <si>
    <t>Tables</t>
  </si>
  <si>
    <t>ORD-0012</t>
  </si>
  <si>
    <t>Phoenix</t>
  </si>
  <si>
    <t>ORD-0013</t>
  </si>
  <si>
    <t>Phones</t>
  </si>
  <si>
    <t>ORD-0014</t>
  </si>
  <si>
    <t>ORD-0015</t>
  </si>
  <si>
    <t>ORD-0016</t>
  </si>
  <si>
    <t>ORD-0017</t>
  </si>
  <si>
    <t>ORD-0018</t>
  </si>
  <si>
    <t>ORD-0019</t>
  </si>
  <si>
    <t>Storage</t>
  </si>
  <si>
    <t>ORD-0020</t>
  </si>
  <si>
    <t>ORD-0021</t>
  </si>
  <si>
    <t>ORD-0022</t>
  </si>
  <si>
    <t>Binders</t>
  </si>
  <si>
    <t>ORD-0023</t>
  </si>
  <si>
    <t>ORD-0024</t>
  </si>
  <si>
    <t>ORD-0025</t>
  </si>
  <si>
    <t>ORD-0026</t>
  </si>
  <si>
    <t>ORD-0027</t>
  </si>
  <si>
    <t>ORD-0028</t>
  </si>
  <si>
    <t>Chicago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</si>
  <si>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</si>
  <si>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</si>
  <si>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</si>
  <si>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</si>
  <si>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</si>
  <si>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</si>
  <si>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</si>
  <si>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</si>
  <si>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</si>
  <si>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</si>
  <si>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</si>
  <si>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</si>
  <si>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</si>
  <si>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</si>
  <si>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</si>
  <si>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</si>
  <si>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</si>
  <si>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</si>
  <si>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</si>
  <si>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</si>
  <si>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</si>
  <si>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</si>
  <si>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</si>
  <si>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</si>
  <si>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</si>
  <si>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</si>
  <si>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</si>
  <si>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</si>
  <si>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</si>
  <si>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</si>
  <si>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</si>
  <si>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</si>
  <si>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</si>
  <si>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</si>
  <si>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</si>
  <si>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</si>
  <si>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</si>
  <si>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</si>
  <si>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</si>
  <si>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</si>
  <si>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</si>
  <si>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</si>
  <si>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</si>
  <si>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</si>
  <si>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</si>
  <si>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</si>
  <si>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</si>
  <si>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</si>
  <si>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</si>
  <si>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</si>
  <si>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</si>
  <si>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</si>
  <si>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</si>
  <si>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</si>
  <si>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</si>
  <si>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</si>
  <si>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</si>
  <si>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</si>
  <si>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</si>
  <si>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</si>
  <si>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</si>
  <si>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</si>
  <si>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</si>
  <si>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</si>
  <si>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</si>
  <si>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</si>
  <si>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</si>
  <si>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</si>
  <si>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</si>
  <si>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</si>
  <si>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</si>
  <si>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</si>
  <si>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</si>
  <si>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</si>
  <si>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</si>
  <si>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</si>
  <si>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</si>
  <si>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</si>
  <si>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</si>
  <si>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</si>
  <si>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</si>
  <si>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</si>
  <si>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</si>
  <si>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</si>
  <si>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</si>
  <si>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</si>
  <si>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</si>
  <si>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</si>
  <si>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</si>
  <si>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</si>
  <si>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</si>
  <si>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</si>
  <si>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</si>
  <si>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</si>
  <si>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</si>
  <si>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</si>
  <si>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</si>
  <si>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</si>
  <si>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</si>
  <si>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</si>
  <si>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</si>
  <si>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</si>
  <si>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</si>
  <si>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</si>
  <si>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</si>
  <si>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</si>
  <si>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</si>
  <si>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</si>
  <si>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</si>
  <si>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</si>
  <si>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</si>
  <si>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</si>
  <si>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</si>
  <si>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</si>
  <si>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</si>
  <si>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</si>
  <si>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</si>
  <si>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</si>
  <si>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</si>
  <si>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</si>
  <si>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</si>
  <si>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</si>
  <si>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</si>
  <si>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</si>
  <si>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</si>
  <si>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</si>
  <si>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</si>
  <si>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</si>
  <si>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</si>
  <si>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</si>
  <si>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</si>
  <si>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</si>
  <si>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</si>
  <si>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</si>
  <si>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</si>
  <si>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</si>
  <si>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</si>
  <si>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</si>
  <si>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</si>
  <si>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</si>
  <si>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</si>
  <si>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</si>
  <si>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</si>
  <si>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</si>
  <si>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</si>
  <si>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</si>
  <si>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</si>
  <si>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</si>
  <si>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</si>
  <si>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</si>
  <si>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</si>
  <si>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</si>
  <si>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</si>
  <si>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</si>
  <si>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</si>
  <si>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</si>
  <si>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</si>
  <si>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</si>
  <si>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</si>
  <si>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</si>
  <si>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</si>
  <si>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</si>
  <si>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</si>
  <si>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</si>
  <si>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</si>
  <si>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</si>
  <si>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</si>
  <si>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</si>
  <si>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</si>
  <si>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</si>
  <si>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</si>
  <si>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</si>
  <si>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</si>
  <si>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</si>
  <si>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</si>
  <si>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</si>
  <si>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</si>
  <si>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</si>
  <si>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</si>
  <si>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</si>
  <si>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</si>
  <si>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</si>
  <si>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</si>
  <si>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</si>
  <si>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</si>
  <si>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</si>
  <si>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</si>
  <si>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</si>
  <si>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</si>
  <si>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</si>
  <si>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</si>
  <si>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</si>
  <si>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</si>
  <si>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</si>
  <si>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</si>
  <si>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</si>
  <si>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</si>
  <si>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</si>
  <si>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</si>
  <si>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</si>
  <si>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</si>
  <si>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</si>
  <si>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</si>
  <si>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</si>
  <si>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</si>
  <si>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</si>
  <si>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</si>
  <si>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</si>
  <si>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</si>
  <si>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</si>
  <si>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</si>
  <si>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</si>
  <si>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</si>
  <si>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</si>
  <si>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</si>
  <si>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</si>
  <si>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</si>
  <si>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</si>
  <si>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</si>
  <si>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</si>
  <si>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</si>
  <si>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</si>
  <si>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</si>
  <si>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</si>
  <si>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</si>
  <si>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</si>
  <si>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</si>
  <si>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</si>
  <si>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</si>
  <si>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</si>
  <si>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</si>
  <si>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</si>
  <si>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</si>
  <si>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</si>
  <si>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</si>
  <si>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</si>
  <si>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</si>
  <si>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</si>
  <si>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</si>
  <si>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</si>
  <si>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</si>
  <si>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</si>
  <si>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</si>
  <si>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</si>
  <si>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</si>
  <si>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</si>
  <si>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</si>
  <si>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</si>
  <si>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</si>
  <si>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</si>
  <si>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</si>
  <si>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</si>
  <si>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</si>
  <si>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</si>
  <si>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</si>
  <si>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</si>
  <si>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</si>
  <si>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</si>
  <si>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</si>
  <si>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</si>
  <si>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</si>
  <si>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</si>
  <si>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</si>
  <si>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</si>
  <si>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</si>
  <si>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</si>
  <si>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</si>
  <si>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</si>
  <si>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</si>
  <si>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</si>
  <si>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</si>
  <si>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</si>
  <si>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</si>
  <si>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</si>
  <si>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</si>
  <si>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</si>
  <si>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</si>
  <si>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</si>
  <si>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</si>
  <si>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</si>
  <si>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</si>
  <si>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</si>
  <si>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</si>
  <si>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</si>
  <si>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</si>
  <si>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</si>
  <si>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</si>
  <si>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</si>
  <si>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</si>
  <si>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</si>
  <si>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</si>
  <si>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</si>
  <si>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</si>
  <si>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</si>
  <si>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</si>
  <si>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</si>
  <si>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</si>
  <si>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</si>
  <si>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</si>
  <si>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</si>
  <si>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</si>
  <si>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</si>
  <si>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</si>
  <si>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</si>
  <si>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</si>
  <si>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</si>
  <si>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</si>
  <si>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</si>
  <si>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</si>
  <si>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</si>
  <si>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</si>
  <si>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</si>
  <si>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</si>
  <si>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</si>
  <si>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</si>
  <si>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</si>
  <si>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</si>
  <si>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</si>
  <si>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</si>
  <si>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</si>
  <si>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</si>
  <si>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</si>
  <si>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</si>
  <si>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</si>
  <si>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</si>
  <si>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</si>
  <si>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</si>
  <si>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</si>
  <si>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</si>
  <si>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</si>
  <si>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</si>
  <si>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</si>
  <si>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</si>
  <si>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</si>
  <si>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</si>
  <si>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</si>
  <si>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</si>
  <si>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</si>
  <si>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</si>
  <si>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</si>
  <si>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</si>
  <si>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</si>
  <si>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</si>
  <si>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</si>
  <si>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</si>
  <si>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</si>
  <si>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</si>
  <si>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</si>
  <si>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</si>
  <si>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</si>
  <si>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</si>
  <si>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</si>
  <si>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</si>
  <si>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</si>
  <si>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</si>
  <si>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</si>
  <si>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</si>
  <si>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</si>
  <si>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</si>
  <si>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</si>
  <si>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</si>
  <si>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</si>
  <si>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</si>
  <si>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</si>
  <si>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</si>
  <si>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</si>
  <si>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</si>
  <si>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</si>
  <si>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</si>
  <si>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</si>
  <si>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</si>
  <si>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</si>
  <si>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</si>
  <si>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</si>
  <si>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</si>
  <si>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</si>
  <si>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</si>
  <si>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</si>
  <si>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</si>
  <si>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</si>
  <si>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</si>
  <si>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</si>
  <si>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</si>
  <si>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</si>
  <si>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</si>
  <si>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</si>
  <si>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</si>
  <si>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</si>
  <si>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</si>
  <si>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</si>
  <si>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</si>
  <si>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</si>
  <si>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</si>
  <si>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</si>
  <si>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</si>
  <si>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</si>
  <si>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</si>
  <si>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</si>
  <si>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</si>
  <si>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</si>
  <si>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</si>
  <si>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</si>
  <si>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</si>
  <si>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</si>
  <si>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</si>
  <si>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</si>
  <si>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</si>
  <si>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</si>
  <si>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</si>
  <si>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</si>
  <si>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</si>
  <si>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</si>
  <si>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</si>
  <si>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</si>
  <si>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</si>
  <si>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</si>
  <si>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</si>
  <si>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</si>
  <si>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</si>
  <si>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</si>
  <si>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</si>
  <si>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</si>
  <si>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</si>
  <si>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</si>
  <si>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</si>
  <si>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</si>
  <si>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</si>
  <si>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</si>
  <si>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</si>
  <si>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</si>
  <si>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</si>
  <si>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</si>
  <si>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</si>
  <si>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</si>
  <si>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</si>
  <si>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</si>
  <si>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</si>
  <si>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</si>
  <si>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</si>
  <si>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</si>
  <si>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</si>
  <si>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</si>
  <si>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</si>
  <si>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</si>
  <si>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</si>
  <si>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</si>
  <si>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</si>
  <si>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</si>
  <si>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</si>
  <si>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</si>
  <si>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</si>
  <si>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</si>
  <si>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</si>
  <si>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</si>
  <si>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</si>
  <si>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</si>
  <si>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</si>
  <si>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</si>
  <si>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</si>
  <si>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</si>
  <si>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</si>
  <si>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</si>
  <si>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</si>
  <si>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</si>
  <si>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</si>
  <si>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</si>
  <si>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</si>
  <si>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</si>
  <si>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</si>
  <si>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</si>
  <si>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</si>
  <si>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</si>
  <si>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KPI</t>
  </si>
  <si>
    <t>VALUE</t>
  </si>
  <si>
    <t>Total Sales</t>
  </si>
  <si>
    <t>Total Profit</t>
  </si>
  <si>
    <t>Total Quantity</t>
  </si>
  <si>
    <t>Average Sales</t>
  </si>
  <si>
    <t>Average Profit</t>
  </si>
  <si>
    <t>Average Discount</t>
  </si>
  <si>
    <t>Profit Margin</t>
  </si>
  <si>
    <t>Number of Orders</t>
  </si>
  <si>
    <t xml:space="preserve"> 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</si>
  <si>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</si>
  <si>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</si>
  <si>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</si>
  <si>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</si>
  <si>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</si>
  <si>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</si>
  <si>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</si>
  <si>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</si>
  <si>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</si>
  <si>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</si>
  <si>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</si>
  <si>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</si>
  <si>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</si>
  <si>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</si>
  <si>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</si>
  <si>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</si>
  <si>
    <t>Key Findings</t>
  </si>
  <si>
    <r>
      <t xml:space="preserve">Total sales were </t>
    </r>
    <r>
      <rPr>
        <b/>
        <sz val="11"/>
        <color theme="1"/>
        <rFont val="Calibri"/>
        <family val="2"/>
        <scheme val="minor"/>
      </rPr>
      <t>569,721.65</t>
    </r>
    <r>
      <rPr>
        <sz val="11"/>
        <color theme="1"/>
        <rFont val="Calibri"/>
        <family val="2"/>
        <scheme val="minor"/>
      </rPr>
      <t xml:space="preserve"> across 500 orders.</t>
    </r>
  </si>
  <si>
    <r>
      <t xml:space="preserve">Total profit was </t>
    </r>
    <r>
      <rPr>
        <b/>
        <sz val="11"/>
        <color theme="1"/>
        <rFont val="Calibri"/>
        <family val="2"/>
        <scheme val="minor"/>
      </rPr>
      <t>68,230.42</t>
    </r>
    <r>
      <rPr>
        <sz val="11"/>
        <color theme="1"/>
        <rFont val="Calibri"/>
        <family val="2"/>
        <scheme val="minor"/>
      </rPr>
      <t xml:space="preserve">, resulting in an overall profit margin of approximately </t>
    </r>
    <r>
      <rPr>
        <b/>
        <sz val="11"/>
        <color theme="1"/>
        <rFont val="Calibri"/>
        <family val="2"/>
        <scheme val="minor"/>
      </rPr>
      <t>11.98%</t>
    </r>
    <r>
      <rPr>
        <sz val="11"/>
        <color theme="1"/>
        <rFont val="Calibri"/>
        <family val="2"/>
        <scheme val="minor"/>
      </rPr>
      <t>.</t>
    </r>
  </si>
  <si>
    <r>
      <t>Technology</t>
    </r>
    <r>
      <rPr>
        <sz val="11"/>
        <color theme="1"/>
        <rFont val="Calibri"/>
        <family val="2"/>
        <scheme val="minor"/>
      </rPr>
      <t xml:space="preserve"> recorded the highest category sales at </t>
    </r>
    <r>
      <rPr>
        <b/>
        <sz val="11"/>
        <color theme="1"/>
        <rFont val="Calibri"/>
        <family val="2"/>
        <scheme val="minor"/>
      </rPr>
      <t>192,912.45</t>
    </r>
    <r>
      <rPr>
        <sz val="11"/>
        <color theme="1"/>
        <rFont val="Calibri"/>
        <family val="2"/>
        <scheme val="minor"/>
      </rPr>
      <t>.</t>
    </r>
  </si>
  <si>
    <r>
      <t>South</t>
    </r>
    <r>
      <rPr>
        <sz val="11"/>
        <color theme="1"/>
        <rFont val="Calibri"/>
        <family val="2"/>
        <scheme val="minor"/>
      </rPr>
      <t xml:space="preserve"> recorded the highest regional sales at </t>
    </r>
    <r>
      <rPr>
        <b/>
        <sz val="11"/>
        <color theme="1"/>
        <rFont val="Calibri"/>
        <family val="2"/>
        <scheme val="minor"/>
      </rPr>
      <t>152,518.52</t>
    </r>
    <r>
      <rPr>
        <sz val="11"/>
        <color theme="1"/>
        <rFont val="Calibri"/>
        <family val="2"/>
        <scheme val="minor"/>
      </rPr>
      <t>.</t>
    </r>
  </si>
  <si>
    <r>
      <t>December</t>
    </r>
    <r>
      <rPr>
        <sz val="11"/>
        <color theme="1"/>
        <rFont val="Calibri"/>
        <family val="2"/>
        <scheme val="minor"/>
      </rPr>
      <t xml:space="preserve"> had the highest monthly sales at </t>
    </r>
    <r>
      <rPr>
        <b/>
        <sz val="11"/>
        <color theme="1"/>
        <rFont val="Calibri"/>
        <family val="2"/>
        <scheme val="minor"/>
      </rPr>
      <t>69,014.00</t>
    </r>
    <r>
      <rPr>
        <sz val="11"/>
        <color theme="1"/>
        <rFont val="Calibri"/>
        <family val="2"/>
        <scheme val="minor"/>
      </rPr>
      <t>.</t>
    </r>
  </si>
  <si>
    <r>
      <t>Binders</t>
    </r>
    <r>
      <rPr>
        <sz val="11"/>
        <color theme="1"/>
        <rFont val="Calibri"/>
        <family val="2"/>
        <scheme val="minor"/>
      </rPr>
      <t xml:space="preserve"> was the highest-selling sub-category with sales of </t>
    </r>
    <r>
      <rPr>
        <b/>
        <sz val="11"/>
        <color theme="1"/>
        <rFont val="Calibri"/>
        <family val="2"/>
        <scheme val="minor"/>
      </rPr>
      <t>81,880.38</t>
    </r>
    <r>
      <rPr>
        <sz val="11"/>
        <color theme="1"/>
        <rFont val="Calibri"/>
        <family val="2"/>
        <scheme val="minor"/>
      </rPr>
      <t>.</t>
    </r>
  </si>
  <si>
    <t>These findings are found based on my dataset I took.</t>
  </si>
  <si>
    <t>Overall Summary</t>
  </si>
  <si>
    <t xml:space="preserve">   The PivotTable analysis helps identify sales patterns and high-performing business areas and can support future sales and performance monitoring.</t>
  </si>
  <si>
    <r>
      <t xml:space="preserve">The Excel analysis of 500 sales transactions provides an overview of sales and profitability across </t>
    </r>
    <r>
      <rPr>
        <b/>
        <sz val="11"/>
        <color theme="1"/>
        <rFont val="Calibri"/>
        <family val="2"/>
        <scheme val="minor"/>
      </rPr>
      <t>categories,regions,sub-categories and month.</t>
    </r>
  </si>
  <si>
    <r>
      <t xml:space="preserve">   The dataset generated </t>
    </r>
    <r>
      <rPr>
        <b/>
        <sz val="11"/>
        <color theme="1"/>
        <rFont val="Calibri"/>
        <family val="2"/>
        <scheme val="minor"/>
      </rPr>
      <t xml:space="preserve">total sales </t>
    </r>
    <r>
      <rPr>
        <sz val="11"/>
        <color theme="1"/>
        <rFont val="Calibri"/>
        <family val="2"/>
        <scheme val="minor"/>
      </rPr>
      <t xml:space="preserve">of </t>
    </r>
    <r>
      <rPr>
        <b/>
        <sz val="11"/>
        <color theme="1"/>
        <rFont val="Calibri"/>
        <family val="2"/>
        <scheme val="minor"/>
      </rPr>
      <t>56,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>721.65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total profit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68,230.42</t>
    </r>
    <r>
      <rPr>
        <sz val="11"/>
        <color theme="1"/>
        <rFont val="Calibri"/>
        <family val="2"/>
        <scheme val="minor"/>
      </rPr>
      <t xml:space="preserve">, resulting in an overall </t>
    </r>
    <r>
      <rPr>
        <b/>
        <sz val="11"/>
        <color theme="1"/>
        <rFont val="Calibri"/>
        <family val="2"/>
        <scheme val="minor"/>
      </rPr>
      <t xml:space="preserve">profit margin </t>
    </r>
    <r>
      <rPr>
        <sz val="11"/>
        <color theme="1"/>
        <rFont val="Calibri"/>
        <family val="2"/>
        <scheme val="minor"/>
      </rPr>
      <t xml:space="preserve">of approximately </t>
    </r>
    <r>
      <rPr>
        <b/>
        <sz val="11"/>
        <color theme="1"/>
        <rFont val="Calibri"/>
        <family val="2"/>
        <scheme val="minor"/>
      </rPr>
      <t>11.98%.</t>
    </r>
  </si>
  <si>
    <r>
      <rPr>
        <b/>
        <sz val="11"/>
        <color theme="1"/>
        <rFont val="Calibri"/>
        <family val="2"/>
        <scheme val="minor"/>
      </rPr>
      <t xml:space="preserve">   Technology</t>
    </r>
    <r>
      <rPr>
        <sz val="11"/>
        <color theme="1"/>
        <rFont val="Calibri"/>
        <family val="2"/>
        <scheme val="minor"/>
      </rPr>
      <t xml:space="preserve"> recorded the</t>
    </r>
    <r>
      <rPr>
        <b/>
        <sz val="11"/>
        <color theme="1"/>
        <rFont val="Calibri"/>
        <family val="2"/>
        <scheme val="minor"/>
      </rPr>
      <t xml:space="preserve"> highest category sales</t>
    </r>
    <r>
      <rPr>
        <sz val="11"/>
        <color theme="1"/>
        <rFont val="Calibri"/>
        <family val="2"/>
        <scheme val="minor"/>
      </rPr>
      <t xml:space="preserve">, while the </t>
    </r>
    <r>
      <rPr>
        <b/>
        <sz val="11"/>
        <color theme="1"/>
        <rFont val="Calibri"/>
        <family val="2"/>
        <scheme val="minor"/>
      </rPr>
      <t>South region</t>
    </r>
    <r>
      <rPr>
        <sz val="11"/>
        <color theme="1"/>
        <rFont val="Calibri"/>
        <family val="2"/>
        <scheme val="minor"/>
      </rPr>
      <t xml:space="preserve"> generated the</t>
    </r>
    <r>
      <rPr>
        <b/>
        <sz val="11"/>
        <color theme="1"/>
        <rFont val="Calibri"/>
        <family val="2"/>
        <scheme val="minor"/>
      </rPr>
      <t xml:space="preserve"> highest regional sales.</t>
    </r>
  </si>
  <si>
    <r>
      <rPr>
        <b/>
        <sz val="11"/>
        <color theme="1"/>
        <rFont val="Calibri"/>
        <family val="2"/>
        <scheme val="minor"/>
      </rPr>
      <t xml:space="preserve">   Monthly analysis</t>
    </r>
    <r>
      <rPr>
        <sz val="11"/>
        <color theme="1"/>
        <rFont val="Calibri"/>
        <family val="2"/>
        <scheme val="minor"/>
      </rPr>
      <t xml:space="preserve"> showed that </t>
    </r>
    <r>
      <rPr>
        <b/>
        <sz val="11"/>
        <color theme="1"/>
        <rFont val="Calibri"/>
        <family val="2"/>
        <scheme val="minor"/>
      </rPr>
      <t>December recorded the highest sales</t>
    </r>
    <r>
      <rPr>
        <sz val="11"/>
        <color theme="1"/>
        <rFont val="Calibri"/>
        <family val="2"/>
        <scheme val="minor"/>
      </rPr>
      <t>, while</t>
    </r>
    <r>
      <rPr>
        <b/>
        <sz val="11"/>
        <color theme="1"/>
        <rFont val="Calibri"/>
        <family val="2"/>
        <scheme val="minor"/>
      </rPr>
      <t xml:space="preserve"> Binders was the highest-selling sub-category.</t>
    </r>
  </si>
  <si>
    <t>SALES BY CATEGORY</t>
  </si>
  <si>
    <t>SALES BY REGION</t>
  </si>
  <si>
    <t>MONTHLY SALES</t>
  </si>
  <si>
    <t>PROFIT BY CATEGORY</t>
  </si>
  <si>
    <t>SALES BY SUBCATEGORY</t>
  </si>
  <si>
    <t>PIVOT TABLES</t>
  </si>
  <si>
    <t>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</si>
</sst>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0" borderId="0" xfId="0" applyFont="1"/>
    <xf numFmtId="0" fontId="4" fillId="0" borderId="0" xfId="0" applyFont="1"/>
    <xf numFmtId="0" fontId="6" fillId="0" borderId="0" xfId="0" applyFont="1"/>
  </cellXfs>
  <cellStyles count="2">
    <cellStyle name="Normal" xfId="0" builtinId="0"/>
    <cellStyle name="Percent" xfId="1" builtinId="5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DA_dataset.xlsx]Summary!PivotTable1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Category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Summary!$A$14:$A$17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Summary!$B$14:$B$17</c:f>
              <c:numCache>
                <c:formatCode>General</c:formatCode>
                <c:ptCount val="3"/>
                <c:pt idx="0">
                  <c:v>186284.60999999993</c:v>
                </c:pt>
                <c:pt idx="1">
                  <c:v>190524.59</c:v>
                </c:pt>
                <c:pt idx="2">
                  <c:v>192912.45000000004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8-4E9F-9A2F-0D59DEC5B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038271"/>
        <c:axId val="1861145744"/>
      </c:barChart>
      <c:catAx>
        <c:axId val="15203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145744"/>
        <c:crosses val="autoZero"/>
        <c:auto val="1"/>
        <c:lblAlgn val="ctr"/>
        <c:lblOffset val="100"/>
        <c:noMultiLvlLbl val="0"/>
      </c:catAx>
      <c:valAx>
        <c:axId val="186114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3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DA_dataset.xlsx]Summary!PivotTable2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Region</a:t>
            </a:r>
            <a:endParaRPr lang="en-US" b="1"/>
          </a:p>
        </c:rich>
      </c:tx>
      <c:layout>
        <c:manualLayout>
          <c:xMode val="edge"/>
          <c:yMode val="edge"/>
          <c:x val="0.4023016150198967"/>
          <c:y val="9.58310443752670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Summary!$E$14:$E$18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Summary!$F$14:$F$18</c:f>
              <c:numCache>
                <c:formatCode>General</c:formatCode>
                <c:ptCount val="4"/>
                <c:pt idx="0">
                  <c:v>147286.32</c:v>
                </c:pt>
                <c:pt idx="1">
                  <c:v>122778.83999999998</c:v>
                </c:pt>
                <c:pt idx="2">
                  <c:v>152518.52000000002</c:v>
                </c:pt>
                <c:pt idx="3">
                  <c:v>147137.96999999997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F-492C-8B80-F1C91A7AF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623407"/>
        <c:axId val="247498255"/>
      </c:barChart>
      <c:catAx>
        <c:axId val="143623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98255"/>
        <c:crosses val="autoZero"/>
        <c:auto val="1"/>
        <c:lblAlgn val="ctr"/>
        <c:lblOffset val="100"/>
        <c:noMultiLvlLbl val="0"/>
      </c:catAx>
      <c:valAx>
        <c:axId val="24749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2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DA_dataset.xlsx]Summary!PivotTable3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Monthly Sales Trend-2025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Summary!$I$13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Summary!$H$14:$H$26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Summary!$I$14:$I$26</c:f>
              <c:numCache>
                <c:formatCode>General</c:formatCode>
                <c:ptCount val="12"/>
                <c:pt idx="0">
                  <c:v>40566.320000000007</c:v>
                </c:pt>
                <c:pt idx="1">
                  <c:v>40502.22</c:v>
                </c:pt>
                <c:pt idx="2">
                  <c:v>47908.280000000006</c:v>
                </c:pt>
                <c:pt idx="3">
                  <c:v>30126.11</c:v>
                </c:pt>
                <c:pt idx="4">
                  <c:v>50752.31</c:v>
                </c:pt>
                <c:pt idx="5">
                  <c:v>46130.859999999993</c:v>
                </c:pt>
                <c:pt idx="6">
                  <c:v>54860.249999999993</c:v>
                </c:pt>
                <c:pt idx="7">
                  <c:v>44366.07</c:v>
                </c:pt>
                <c:pt idx="8">
                  <c:v>31518.25</c:v>
                </c:pt>
                <c:pt idx="9">
                  <c:v>61483.49000000002</c:v>
                </c:pt>
                <c:pt idx="10">
                  <c:v>52493.49</c:v>
                </c:pt>
                <c:pt idx="11">
                  <c:v>69014.000000000029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64-4F8E-92EA-1EDDF2509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54735"/>
        <c:axId val="247496335"/>
      </c:lineChart>
      <c:catAx>
        <c:axId val="10275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96335"/>
        <c:crosses val="autoZero"/>
        <c:auto val="1"/>
        <c:lblAlgn val="ctr"/>
        <c:lblOffset val="100"/>
        <c:noMultiLvlLbl val="0"/>
      </c:catAx>
      <c:valAx>
        <c:axId val="24749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5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1013460</xdr:colOff>
      <xdr:row>32</xdr:row>
      <xdr:rowOff>45720</xdr:rowOff>
    </xdr:from>
    <xdr:to>
      <xdr:col>5</xdr:col>
      <xdr:colOff>358140</xdr:colOff>
      <xdr:row>46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10CC06-8CEC-8B6E-36E6-CA5DCA4A9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</xdr:colOff>
      <xdr:row>32</xdr:row>
      <xdr:rowOff>38100</xdr:rowOff>
    </xdr:from>
    <xdr:to>
      <xdr:col>12</xdr:col>
      <xdr:colOff>60960</xdr:colOff>
      <xdr:row>46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9CAAAF-49B6-2B55-E1F9-5DA1656DF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213360</xdr:colOff>
      <xdr:row>32</xdr:row>
      <xdr:rowOff>68580</xdr:rowOff>
    </xdr:from>
    <xdr:to>
      <xdr:col>19</xdr:col>
      <xdr:colOff>160020</xdr:colOff>
      <xdr:row>46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13A5E6-EE5A-F583-7761-4FEF2D7F7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itha Maddula" refreshedDate="46289.470019097222" createdVersion="8" refreshedVersion="8" minRefreshableVersion="3" recordCount="500" xr:uid="{45211B5E-694F-4B61-BB62-79443C1149A2}">
  <cacheSource type="worksheet">
    <worksheetSource name="SalesData"/>
  </cacheSource>
  <cacheFields count="14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6-01-01T00:00:00" count="281">
        <d v="2025-11-24T00:00:00"/>
        <d v="2025-10-07T00:00:00"/>
        <d v="2025-10-15T00:00:00"/>
        <d v="2025-01-04T00:00:00"/>
        <d v="2025-07-14T00:00:00"/>
        <d v="2025-07-13T00:00:00"/>
        <d v="2025-05-29T00:00:00"/>
        <d v="2025-07-01T00:00:00"/>
        <d v="2025-01-17T00:00:00"/>
        <d v="2025-11-26T00:00:00"/>
        <d v="2025-07-24T00:00:00"/>
        <d v="2025-03-23T00:00:00"/>
        <d v="2025-01-06T00:00:00"/>
        <d v="2025-05-15T00:00:00"/>
        <d v="2025-09-29T00:00:00"/>
        <d v="2025-05-04T00:00:00"/>
        <d v="2025-03-26T00:00:00"/>
        <d v="2025-11-29T00:00:00"/>
        <d v="2025-10-11T00:00:00"/>
        <d v="2025-02-06T00:00:00"/>
        <d v="2025-05-05T00:00:00"/>
        <d v="2025-01-28T00:00:00"/>
        <d v="2025-03-13T00:00:00"/>
        <d v="2025-11-30T00:00:00"/>
        <d v="2025-09-07T00:00:00"/>
        <d v="2025-09-02T00:00:00"/>
        <d v="2025-10-19T00:00:00"/>
        <d v="2025-05-14T00:00:00"/>
        <d v="2025-02-07T00:00:00"/>
        <d v="2025-06-28T00:00:00"/>
        <d v="2025-12-01T00:00:00"/>
        <d v="2025-03-21T00:00:00"/>
        <d v="2025-05-09T00:00:00"/>
        <d v="2025-07-09T00:00:00"/>
        <d v="2025-04-18T00:00:00"/>
        <d v="2025-04-01T00:00:00"/>
        <d v="2025-12-26T00:00:00"/>
        <d v="2025-04-27T00:00:00"/>
        <d v="2025-05-23T00:00:00"/>
        <d v="2025-05-16T00:00:00"/>
        <d v="2025-10-23T00:00:00"/>
        <d v="2025-12-10T00:00:00"/>
        <d v="2025-06-03T00:00:00"/>
        <d v="2025-10-24T00:00:00"/>
        <d v="2025-05-26T00:00:00"/>
        <d v="2025-05-06T00:00:00"/>
        <d v="2025-10-13T00:00:00"/>
        <d v="2025-09-16T00:00:00"/>
        <d v="2025-05-22T00:00:00"/>
        <d v="2025-06-13T00:00:00"/>
        <d v="2025-06-19T00:00:00"/>
        <d v="2025-01-11T00:00:00"/>
        <d v="2025-07-27T00:00:00"/>
        <d v="2025-08-08T00:00:00"/>
        <d v="2025-06-29T00:00:00"/>
        <d v="2025-11-15T00:00:00"/>
        <d v="2025-03-27T00:00:00"/>
        <d v="2025-04-12T00:00:00"/>
        <d v="2025-11-04T00:00:00"/>
        <d v="2025-08-04T00:00:00"/>
        <d v="2025-05-19T00:00:00"/>
        <d v="2025-08-19T00:00:00"/>
        <d v="2025-04-19T00:00:00"/>
        <d v="2025-07-28T00:00:00"/>
        <d v="2025-04-24T00:00:00"/>
        <d v="2025-10-09T00:00:00"/>
        <d v="2025-06-11T00:00:00"/>
        <d v="2025-10-29T00:00:00"/>
        <d v="2025-03-06T00:00:00"/>
        <d v="2025-01-07T00:00:00"/>
        <d v="2025-02-13T00:00:00"/>
        <d v="2025-08-29T00:00:00"/>
        <d v="2025-11-17T00:00:00"/>
        <d v="2025-05-20T00:00:00"/>
        <d v="2025-02-16T00:00:00"/>
        <d v="2025-06-20T00:00:00"/>
        <d v="2025-07-25T00:00:00"/>
        <d v="2025-01-01T00:00:00"/>
        <d v="2025-12-30T00:00:00"/>
        <d v="2025-03-02T00:00:00"/>
        <d v="2025-10-10T00:00:00"/>
        <d v="2025-09-17T00:00:00"/>
        <d v="2025-06-26T00:00:00"/>
        <d v="2025-04-30T00:00:00"/>
        <d v="2025-01-19T00:00:00"/>
        <d v="2025-03-15T00:00:00"/>
        <d v="2025-06-18T00:00:00"/>
        <d v="2025-05-28T00:00:00"/>
        <d v="2025-01-24T00:00:00"/>
        <d v="2025-12-16T00:00:00"/>
        <d v="2025-08-25T00:00:00"/>
        <d v="2025-08-15T00:00:00"/>
        <d v="2025-07-16T00:00:00"/>
        <d v="2025-12-04T00:00:00"/>
        <d v="2025-04-28T00:00:00"/>
        <d v="2025-08-14T00:00:00"/>
        <d v="2025-03-31T00:00:00"/>
        <d v="2025-06-01T00:00:00"/>
        <d v="2025-11-23T00:00:00"/>
        <d v="2025-11-09T00:00:00"/>
        <d v="2025-01-20T00:00:00"/>
        <d v="2025-12-23T00:00:00"/>
        <d v="2025-05-24T00:00:00"/>
        <d v="2025-12-18T00:00:00"/>
        <d v="2025-08-21T00:00:00"/>
        <d v="2025-10-17T00:00:00"/>
        <d v="2025-11-02T00:00:00"/>
        <d v="2025-07-03T00:00:00"/>
        <d v="2025-02-02T00:00:00"/>
        <d v="2025-09-09T00:00:00"/>
        <d v="2025-10-08T00:00:00"/>
        <d v="2025-03-20T00:00:00"/>
        <d v="2025-10-12T00:00:00"/>
        <d v="2025-01-27T00:00:00"/>
        <d v="2025-02-25T00:00:00"/>
        <d v="2025-10-18T00:00:00"/>
        <d v="2025-10-31T00:00:00"/>
        <d v="2025-04-15T00:00:00"/>
        <d v="2025-08-24T00:00:00"/>
        <d v="2025-06-16T00:00:00"/>
        <d v="2025-11-21T00:00:00"/>
        <d v="2025-03-16T00:00:00"/>
        <d v="2025-10-16T00:00:00"/>
        <d v="2025-11-20T00:00:00"/>
        <d v="2025-07-08T00:00:00"/>
        <d v="2025-10-20T00:00:00"/>
        <d v="2025-07-10T00:00:00"/>
        <d v="2025-07-17T00:00:00"/>
        <d v="2025-06-08T00:00:00"/>
        <d v="2025-06-24T00:00:00"/>
        <d v="2025-10-04T00:00:00"/>
        <d v="2025-11-16T00:00:00"/>
        <d v="2025-04-10T00:00:00"/>
        <d v="2025-03-24T00:00:00"/>
        <d v="2025-12-31T00:00:00"/>
        <d v="2025-02-11T00:00:00"/>
        <d v="2025-08-30T00:00:00"/>
        <d v="2025-11-11T00:00:00"/>
        <d v="2025-09-27T00:00:00"/>
        <d v="2025-02-04T00:00:00"/>
        <d v="2025-08-23T00:00:00"/>
        <d v="2025-10-06T00:00:00"/>
        <d v="2025-04-06T00:00:00"/>
        <d v="2025-04-03T00:00:00"/>
        <d v="2025-08-13T00:00:00"/>
        <d v="2025-08-16T00:00:00"/>
        <d v="2025-03-22T00:00:00"/>
        <d v="2025-01-14T00:00:00"/>
        <d v="2025-07-23T00:00:00"/>
        <d v="2025-12-15T00:00:00"/>
        <d v="2025-09-23T00:00:00"/>
        <d v="2025-02-10T00:00:00"/>
        <d v="2025-09-15T00:00:00"/>
        <d v="2025-01-15T00:00:00"/>
        <d v="2025-01-16T00:00:00"/>
        <d v="2025-05-07T00:00:00"/>
        <d v="2025-07-21T00:00:00"/>
        <d v="2025-07-26T00:00:00"/>
        <d v="2025-06-23T00:00:00"/>
        <d v="2025-08-31T00:00:00"/>
        <d v="2025-11-12T00:00:00"/>
        <d v="2025-12-11T00:00:00"/>
        <d v="2025-12-25T00:00:00"/>
        <d v="2025-11-10T00:00:00"/>
        <d v="2025-06-10T00:00:00"/>
        <d v="2025-05-21T00:00:00"/>
        <d v="2025-11-27T00:00:00"/>
        <d v="2025-06-21T00:00:00"/>
        <d v="2025-02-27T00:00:00"/>
        <d v="2025-02-18T00:00:00"/>
        <d v="2025-05-17T00:00:00"/>
        <d v="2025-10-03T00:00:00"/>
        <d v="2025-08-01T00:00:00"/>
        <d v="2025-01-02T00:00:00"/>
        <d v="2025-02-05T00:00:00"/>
        <d v="2025-07-15T00:00:00"/>
        <d v="2025-03-07T00:00:00"/>
        <d v="2025-06-27T00:00:00"/>
        <d v="2025-01-09T00:00:00"/>
        <d v="2025-01-23T00:00:00"/>
        <d v="2025-10-22T00:00:00"/>
        <d v="2025-09-24T00:00:00"/>
        <d v="2025-01-25T00:00:00"/>
        <d v="2025-08-02T00:00:00"/>
        <d v="2025-02-17T00:00:00"/>
        <d v="2025-10-14T00:00:00"/>
        <d v="2025-05-25T00:00:00"/>
        <d v="2025-08-27T00:00:00"/>
        <d v="2025-11-25T00:00:00"/>
        <d v="2025-10-05T00:00:00"/>
        <d v="2025-03-19T00:00:00"/>
        <d v="2025-05-27T00:00:00"/>
        <d v="2025-02-12T00:00:00"/>
        <d v="2025-04-17T00:00:00"/>
        <d v="2025-07-19T00:00:00"/>
        <d v="2025-02-08T00:00:00"/>
        <d v="2025-06-12T00:00:00"/>
        <d v="2025-02-14T00:00:00"/>
        <d v="2025-09-11T00:00:00"/>
        <d v="2025-10-01T00:00:00"/>
        <d v="2025-02-20T00:00:00"/>
        <d v="2025-03-14T00:00:00"/>
        <d v="2025-12-13T00:00:00"/>
        <d v="2025-04-29T00:00:00"/>
        <d v="2025-10-02T00:00:00"/>
        <d v="2025-07-11T00:00:00"/>
        <d v="2025-12-22T00:00:00"/>
        <d v="2025-07-07T00:00:00"/>
        <d v="2025-01-31T00:00:00"/>
        <d v="2025-07-12T00:00:00"/>
        <d v="2025-02-09T00:00:00"/>
        <d v="2025-08-05T00:00:00"/>
        <d v="2025-11-07T00:00:00"/>
        <d v="2025-07-20T00:00:00"/>
        <d v="2025-03-25T00:00:00"/>
        <d v="2025-09-12T00:00:00"/>
        <d v="2025-10-21T00:00:00"/>
        <d v="2025-05-30T00:00:00"/>
        <d v="2025-04-11T00:00:00"/>
        <d v="2025-10-27T00:00:00"/>
        <d v="2025-11-19T00:00:00"/>
        <d v="2025-07-22T00:00:00"/>
        <d v="2025-08-17T00:00:00"/>
        <d v="2025-02-21T00:00:00"/>
        <d v="2025-03-30T00:00:00"/>
        <d v="2025-11-05T00:00:00"/>
        <d v="2025-08-12T00:00:00"/>
        <d v="2025-12-19T00:00:00"/>
        <d v="2025-07-31T00:00:00"/>
        <d v="2025-12-27T00:00:00"/>
        <d v="2025-04-08T00:00:00"/>
        <d v="2025-02-19T00:00:00"/>
        <d v="2025-08-03T00:00:00"/>
        <d v="2025-09-22T00:00:00"/>
        <d v="2025-11-13T00:00:00"/>
        <d v="2025-09-26T00:00:00"/>
        <d v="2025-11-01T00:00:00"/>
        <d v="2025-11-28T00:00:00"/>
        <d v="2025-03-09T00:00:00"/>
        <d v="2025-02-22T00:00:00"/>
        <d v="2025-06-07T00:00:00"/>
        <d v="2025-03-28T00:00:00"/>
        <d v="2025-05-08T00:00:00"/>
        <d v="2025-02-03T00:00:00"/>
        <d v="2025-09-08T00:00:00"/>
        <d v="2025-01-12T00:00:00"/>
        <d v="2025-12-05T00:00:00"/>
        <d v="2025-04-14T00:00:00"/>
        <d v="2025-09-04T00:00:00"/>
        <d v="2025-01-26T00:00:00"/>
        <d v="2025-05-18T00:00:00"/>
        <d v="2025-12-17T00:00:00"/>
        <d v="2025-12-06T00:00:00"/>
        <d v="2025-04-25T00:00:00"/>
        <d v="2025-09-13T00:00:00"/>
        <d v="2025-07-06T00:00:00"/>
        <d v="2025-09-10T00:00:00"/>
        <d v="2025-08-10T00:00:00"/>
        <d v="2025-06-14T00:00:00"/>
        <d v="2025-08-20T00:00:00"/>
        <d v="2025-04-13T00:00:00"/>
        <d v="2025-03-08T00:00:00"/>
        <d v="2025-06-15T00:00:00"/>
        <d v="2025-12-29T00:00:00"/>
        <d v="2025-08-06T00:00:00"/>
        <d v="2025-05-13T00:00:00"/>
        <d v="2025-01-22T00:00:00"/>
        <d v="2025-12-09T00:00:00"/>
        <d v="2025-06-30T00:00:00"/>
        <d v="2025-07-30T00:00:00"/>
        <d v="2025-03-17T00:00:00"/>
        <d v="2025-04-21T00:00:00"/>
        <d v="2025-10-26T00:00:00"/>
        <d v="2025-09-30T00:00:00"/>
        <d v="2025-12-28T00:00:00"/>
        <d v="2025-09-18T00:00:00"/>
        <d v="2025-12-24T00:00:00"/>
        <d v="2025-04-23T00:00:00"/>
        <d v="2025-06-25T00:00:00"/>
        <d v="2025-03-10T00:00:00"/>
        <d v="2025-05-11T00:00:00"/>
      </sharedItems>
      <fieldGroup par="13"/>
    </cacheField>
    <cacheField name="Region" numFmtId="0">
      <sharedItems count="4">
        <s v="East"/>
        <s v="West"/>
        <s v="Central"/>
        <s v="South"/>
      </sharedItems>
    </cacheField>
    <cacheField name="City" numFmtId="0">
      <sharedItems/>
    </cacheField>
    <cacheField name="Segment" numFmtId="0">
      <sharedItems/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9">
        <s v="Bookcases"/>
        <s v="Accessories"/>
        <s v="Machines"/>
        <s v="Paper"/>
        <s v="Chairs"/>
        <s v="Tables"/>
        <s v="Phones"/>
        <s v="Storage"/>
        <s v="Binders"/>
      </sharedItems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minValue="16.3" maxValue="498.62"/>
    </cacheField>
    <cacheField name="Discount" numFmtId="0">
      <sharedItems containsSemiMixedTypes="0" containsString="0" containsNumber="1" minValue="0" maxValue="0.2"/>
    </cacheField>
    <cacheField name="Sales" numFmtId="0">
      <sharedItems containsSemiMixedTypes="0" containsString="0" containsNumber="1" minValue="16.72" maxValue="3963.92"/>
    </cacheField>
    <cacheField name="Profit" numFmtId="0">
      <sharedItems containsSemiMixedTypes="0" containsString="0" containsNumber="1" minValue="-109.42" maxValue="1044.94"/>
    </cacheField>
    <cacheField name="Days (Order Date)" numFmtId="0" databaseField="0">
      <fieldGroup base="1">
        <rangePr groupBy="days" startDate="2025-01-01T00:00:00" endDate="2026-01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Order Date)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-0001"/>
    <x v="0"/>
    <x v="0"/>
    <s v="Houston"/>
    <s v="Corporate"/>
    <x v="0"/>
    <x v="0"/>
    <n v="4"/>
    <n v="82.68"/>
    <n v="0"/>
    <n v="330.72"/>
    <n v="72.489999999999995"/>
  </r>
  <r>
    <s v="ORD-0002"/>
    <x v="1"/>
    <x v="0"/>
    <s v="New York"/>
    <s v="Consumer"/>
    <x v="1"/>
    <x v="1"/>
    <n v="2"/>
    <n v="121.04"/>
    <n v="0.2"/>
    <n v="242.08"/>
    <n v="26.75"/>
  </r>
  <r>
    <s v="ORD-0003"/>
    <x v="2"/>
    <x v="1"/>
    <s v="Atlanta"/>
    <s v="Home Office"/>
    <x v="1"/>
    <x v="2"/>
    <n v="4"/>
    <n v="232.87"/>
    <n v="0.1"/>
    <n v="931.48"/>
    <n v="193.15"/>
  </r>
  <r>
    <s v="ORD-0004"/>
    <x v="3"/>
    <x v="1"/>
    <s v="Seattle"/>
    <s v="Corporate"/>
    <x v="1"/>
    <x v="1"/>
    <n v="3"/>
    <n v="119.43"/>
    <n v="0.1"/>
    <n v="358.29"/>
    <n v="10.95"/>
  </r>
  <r>
    <s v="ORD-0005"/>
    <x v="4"/>
    <x v="0"/>
    <s v="Seattle"/>
    <s v="Home Office"/>
    <x v="2"/>
    <x v="3"/>
    <n v="1"/>
    <n v="368.92"/>
    <n v="0.2"/>
    <n v="368.92"/>
    <n v="-3.24"/>
  </r>
  <r>
    <s v="ORD-0006"/>
    <x v="5"/>
    <x v="0"/>
    <s v="Dallas"/>
    <s v="Home Office"/>
    <x v="1"/>
    <x v="1"/>
    <n v="4"/>
    <n v="356.72"/>
    <n v="0"/>
    <n v="1426.88"/>
    <n v="307.23"/>
  </r>
  <r>
    <s v="ORD-0007"/>
    <x v="6"/>
    <x v="0"/>
    <s v="Seattle"/>
    <s v="Corporate"/>
    <x v="0"/>
    <x v="4"/>
    <n v="8"/>
    <n v="323.31"/>
    <n v="0.1"/>
    <n v="2586.48"/>
    <n v="118.11"/>
  </r>
  <r>
    <s v="ORD-0008"/>
    <x v="7"/>
    <x v="1"/>
    <s v="Los Angeles"/>
    <s v="Home Office"/>
    <x v="1"/>
    <x v="1"/>
    <n v="3"/>
    <n v="274.06"/>
    <n v="0.05"/>
    <n v="822.18"/>
    <n v="56.2"/>
  </r>
  <r>
    <s v="ORD-0009"/>
    <x v="4"/>
    <x v="2"/>
    <s v="Houston"/>
    <s v="Home Office"/>
    <x v="1"/>
    <x v="2"/>
    <n v="6"/>
    <n v="423.78"/>
    <n v="0"/>
    <n v="2542.6799999999998"/>
    <n v="272.73"/>
  </r>
  <r>
    <s v="ORD-0010"/>
    <x v="8"/>
    <x v="2"/>
    <s v="Houston"/>
    <s v="Consumer"/>
    <x v="2"/>
    <x v="3"/>
    <n v="6"/>
    <n v="118.12"/>
    <n v="0.15"/>
    <n v="708.72"/>
    <n v="57.7"/>
  </r>
  <r>
    <s v="ORD-0011"/>
    <x v="9"/>
    <x v="3"/>
    <s v="Houston"/>
    <s v="Consumer"/>
    <x v="0"/>
    <x v="5"/>
    <n v="5"/>
    <n v="377.3"/>
    <n v="0.15"/>
    <n v="1886.5"/>
    <n v="390.42"/>
  </r>
  <r>
    <s v="ORD-0012"/>
    <x v="10"/>
    <x v="2"/>
    <s v="Phoenix"/>
    <s v="Home Office"/>
    <x v="0"/>
    <x v="4"/>
    <n v="2"/>
    <n v="381.55"/>
    <n v="0"/>
    <n v="763.1"/>
    <n v="67.31"/>
  </r>
  <r>
    <s v="ORD-0013"/>
    <x v="11"/>
    <x v="3"/>
    <s v="Atlanta"/>
    <s v="Corporate"/>
    <x v="1"/>
    <x v="6"/>
    <n v="8"/>
    <n v="271.62"/>
    <n v="0.2"/>
    <n v="2172.96"/>
    <n v="380.69"/>
  </r>
  <r>
    <s v="ORD-0014"/>
    <x v="12"/>
    <x v="0"/>
    <s v="Dallas"/>
    <s v="Corporate"/>
    <x v="1"/>
    <x v="2"/>
    <n v="2"/>
    <n v="157.35"/>
    <n v="0.05"/>
    <n v="314.7"/>
    <n v="44.35"/>
  </r>
  <r>
    <s v="ORD-0015"/>
    <x v="13"/>
    <x v="1"/>
    <s v="Seattle"/>
    <s v="Home Office"/>
    <x v="1"/>
    <x v="6"/>
    <n v="4"/>
    <n v="89.13"/>
    <n v="0.05"/>
    <n v="356.52"/>
    <n v="57.88"/>
  </r>
  <r>
    <s v="ORD-0016"/>
    <x v="14"/>
    <x v="0"/>
    <s v="New York"/>
    <s v="Corporate"/>
    <x v="1"/>
    <x v="1"/>
    <n v="2"/>
    <n v="465.61"/>
    <n v="0.1"/>
    <n v="931.22"/>
    <n v="60.4"/>
  </r>
  <r>
    <s v="ORD-0017"/>
    <x v="15"/>
    <x v="0"/>
    <s v="Los Angeles"/>
    <s v="Corporate"/>
    <x v="0"/>
    <x v="0"/>
    <n v="3"/>
    <n v="77.27"/>
    <n v="0.15"/>
    <n v="231.81"/>
    <n v="50.82"/>
  </r>
  <r>
    <s v="ORD-0018"/>
    <x v="16"/>
    <x v="2"/>
    <s v="Houston"/>
    <s v="Corporate"/>
    <x v="1"/>
    <x v="2"/>
    <n v="4"/>
    <n v="360.78"/>
    <n v="0.15"/>
    <n v="1443.12"/>
    <n v="333.78"/>
  </r>
  <r>
    <s v="ORD-0019"/>
    <x v="17"/>
    <x v="2"/>
    <s v="Los Angeles"/>
    <s v="Corporate"/>
    <x v="2"/>
    <x v="7"/>
    <n v="4"/>
    <n v="123.98"/>
    <n v="0.1"/>
    <n v="495.92"/>
    <n v="5.09"/>
  </r>
  <r>
    <s v="ORD-0020"/>
    <x v="18"/>
    <x v="1"/>
    <s v="Los Angeles"/>
    <s v="Consumer"/>
    <x v="1"/>
    <x v="6"/>
    <n v="1"/>
    <n v="126.04"/>
    <n v="0"/>
    <n v="126.04"/>
    <n v="33.39"/>
  </r>
  <r>
    <s v="ORD-0021"/>
    <x v="19"/>
    <x v="1"/>
    <s v="Houston"/>
    <s v="Corporate"/>
    <x v="2"/>
    <x v="7"/>
    <n v="3"/>
    <n v="365.83"/>
    <n v="0.2"/>
    <n v="1097.49"/>
    <n v="114.2"/>
  </r>
  <r>
    <s v="ORD-0022"/>
    <x v="20"/>
    <x v="3"/>
    <s v="Los Angeles"/>
    <s v="Consumer"/>
    <x v="2"/>
    <x v="8"/>
    <n v="7"/>
    <n v="186.83"/>
    <n v="0.15"/>
    <n v="1307.81"/>
    <n v="129.81"/>
  </r>
  <r>
    <s v="ORD-0023"/>
    <x v="21"/>
    <x v="0"/>
    <s v="Dallas"/>
    <s v="Home Office"/>
    <x v="0"/>
    <x v="5"/>
    <n v="2"/>
    <n v="135.6"/>
    <n v="0.05"/>
    <n v="271.2"/>
    <n v="43.82"/>
  </r>
  <r>
    <s v="ORD-0024"/>
    <x v="22"/>
    <x v="3"/>
    <s v="Houston"/>
    <s v="Corporate"/>
    <x v="0"/>
    <x v="5"/>
    <n v="2"/>
    <n v="229.92"/>
    <n v="0.2"/>
    <n v="459.84"/>
    <n v="-7.14"/>
  </r>
  <r>
    <s v="ORD-0025"/>
    <x v="23"/>
    <x v="0"/>
    <s v="Atlanta"/>
    <s v="Consumer"/>
    <x v="0"/>
    <x v="4"/>
    <n v="8"/>
    <n v="248.46"/>
    <n v="0.15"/>
    <n v="1987.68"/>
    <n v="413.66"/>
  </r>
  <r>
    <s v="ORD-0026"/>
    <x v="16"/>
    <x v="3"/>
    <s v="Phoenix"/>
    <s v="Corporate"/>
    <x v="0"/>
    <x v="5"/>
    <n v="5"/>
    <n v="220.16"/>
    <n v="0.2"/>
    <n v="1100.8"/>
    <n v="138.11000000000001"/>
  </r>
  <r>
    <s v="ORD-0027"/>
    <x v="24"/>
    <x v="1"/>
    <s v="New York"/>
    <s v="Consumer"/>
    <x v="0"/>
    <x v="5"/>
    <n v="1"/>
    <n v="377.77"/>
    <n v="0"/>
    <n v="377.77"/>
    <n v="23.62"/>
  </r>
  <r>
    <s v="ORD-0028"/>
    <x v="25"/>
    <x v="1"/>
    <s v="Chicago"/>
    <s v="Consumer"/>
    <x v="0"/>
    <x v="0"/>
    <n v="2"/>
    <n v="303.58999999999997"/>
    <n v="0.05"/>
    <n v="607.17999999999995"/>
    <n v="77.989999999999995"/>
  </r>
  <r>
    <s v="ORD-0029"/>
    <x v="26"/>
    <x v="1"/>
    <s v="Los Angeles"/>
    <s v="Consumer"/>
    <x v="1"/>
    <x v="2"/>
    <n v="7"/>
    <n v="333.83"/>
    <n v="0.2"/>
    <n v="2336.81"/>
    <n v="211.94"/>
  </r>
  <r>
    <s v="ORD-0030"/>
    <x v="27"/>
    <x v="1"/>
    <s v="Houston"/>
    <s v="Corporate"/>
    <x v="1"/>
    <x v="2"/>
    <n v="5"/>
    <n v="206.96"/>
    <n v="0.1"/>
    <n v="1034.8"/>
    <n v="123.46"/>
  </r>
  <r>
    <s v="ORD-0031"/>
    <x v="28"/>
    <x v="0"/>
    <s v="Los Angeles"/>
    <s v="Home Office"/>
    <x v="2"/>
    <x v="7"/>
    <n v="2"/>
    <n v="275.75"/>
    <n v="0.2"/>
    <n v="551.5"/>
    <n v="14.5"/>
  </r>
  <r>
    <s v="ORD-0032"/>
    <x v="29"/>
    <x v="0"/>
    <s v="Chicago"/>
    <s v="Corporate"/>
    <x v="0"/>
    <x v="5"/>
    <n v="8"/>
    <n v="419.37"/>
    <n v="0.1"/>
    <n v="3354.96"/>
    <n v="529.80999999999995"/>
  </r>
  <r>
    <s v="ORD-0033"/>
    <x v="30"/>
    <x v="0"/>
    <s v="Los Angeles"/>
    <s v="Corporate"/>
    <x v="1"/>
    <x v="2"/>
    <n v="3"/>
    <n v="143.27000000000001"/>
    <n v="0"/>
    <n v="429.81"/>
    <n v="101.27"/>
  </r>
  <r>
    <s v="ORD-0034"/>
    <x v="31"/>
    <x v="2"/>
    <s v="Dallas"/>
    <s v="Consumer"/>
    <x v="2"/>
    <x v="7"/>
    <n v="4"/>
    <n v="348.44"/>
    <n v="0.1"/>
    <n v="1393.76"/>
    <n v="183.07"/>
  </r>
  <r>
    <s v="ORD-0035"/>
    <x v="32"/>
    <x v="0"/>
    <s v="Seattle"/>
    <s v="Corporate"/>
    <x v="0"/>
    <x v="0"/>
    <n v="1"/>
    <n v="16.72"/>
    <n v="0.05"/>
    <n v="16.72"/>
    <n v="3.12"/>
  </r>
  <r>
    <s v="ORD-0036"/>
    <x v="13"/>
    <x v="1"/>
    <s v="Atlanta"/>
    <s v="Home Office"/>
    <x v="1"/>
    <x v="1"/>
    <n v="1"/>
    <n v="69.260000000000005"/>
    <n v="0.05"/>
    <n v="69.260000000000005"/>
    <n v="11.35"/>
  </r>
  <r>
    <s v="ORD-0037"/>
    <x v="33"/>
    <x v="1"/>
    <s v="Seattle"/>
    <s v="Consumer"/>
    <x v="2"/>
    <x v="8"/>
    <n v="6"/>
    <n v="451.01"/>
    <n v="0"/>
    <n v="2706.06"/>
    <n v="743.44"/>
  </r>
  <r>
    <s v="ORD-0038"/>
    <x v="34"/>
    <x v="1"/>
    <s v="Atlanta"/>
    <s v="Corporate"/>
    <x v="1"/>
    <x v="6"/>
    <n v="3"/>
    <n v="464"/>
    <n v="0.05"/>
    <n v="1392"/>
    <n v="339.16"/>
  </r>
  <r>
    <s v="ORD-0039"/>
    <x v="35"/>
    <x v="3"/>
    <s v="Dallas"/>
    <s v="Home Office"/>
    <x v="0"/>
    <x v="4"/>
    <n v="7"/>
    <n v="404.08"/>
    <n v="0.05"/>
    <n v="2828.56"/>
    <n v="266.45"/>
  </r>
  <r>
    <s v="ORD-0040"/>
    <x v="36"/>
    <x v="0"/>
    <s v="Houston"/>
    <s v="Corporate"/>
    <x v="2"/>
    <x v="8"/>
    <n v="4"/>
    <n v="411.04"/>
    <n v="0.15"/>
    <n v="1644.16"/>
    <n v="114.95"/>
  </r>
  <r>
    <s v="ORD-0041"/>
    <x v="37"/>
    <x v="1"/>
    <s v="Atlanta"/>
    <s v="Consumer"/>
    <x v="0"/>
    <x v="0"/>
    <n v="6"/>
    <n v="150.12"/>
    <n v="0"/>
    <n v="900.72"/>
    <n v="262.76"/>
  </r>
  <r>
    <s v="ORD-0042"/>
    <x v="38"/>
    <x v="2"/>
    <s v="Dallas"/>
    <s v="Corporate"/>
    <x v="1"/>
    <x v="2"/>
    <n v="1"/>
    <n v="70.94"/>
    <n v="0.1"/>
    <n v="70.94"/>
    <n v="3.52"/>
  </r>
  <r>
    <s v="ORD-0043"/>
    <x v="39"/>
    <x v="0"/>
    <s v="Dallas"/>
    <s v="Corporate"/>
    <x v="0"/>
    <x v="0"/>
    <n v="6"/>
    <n v="226.65"/>
    <n v="0.2"/>
    <n v="1359.9"/>
    <n v="-15.08"/>
  </r>
  <r>
    <s v="ORD-0044"/>
    <x v="40"/>
    <x v="1"/>
    <s v="Atlanta"/>
    <s v="Home Office"/>
    <x v="2"/>
    <x v="8"/>
    <n v="1"/>
    <n v="267.16000000000003"/>
    <n v="0.2"/>
    <n v="267.16000000000003"/>
    <n v="35.19"/>
  </r>
  <r>
    <s v="ORD-0045"/>
    <x v="41"/>
    <x v="1"/>
    <s v="Dallas"/>
    <s v="Consumer"/>
    <x v="2"/>
    <x v="3"/>
    <n v="6"/>
    <n v="336.74"/>
    <n v="0"/>
    <n v="2020.44"/>
    <n v="464.58"/>
  </r>
  <r>
    <s v="ORD-0046"/>
    <x v="42"/>
    <x v="2"/>
    <s v="Atlanta"/>
    <s v="Corporate"/>
    <x v="1"/>
    <x v="1"/>
    <n v="5"/>
    <n v="283.89"/>
    <n v="0.05"/>
    <n v="1419.45"/>
    <n v="188.24"/>
  </r>
  <r>
    <s v="ORD-0047"/>
    <x v="4"/>
    <x v="1"/>
    <s v="Atlanta"/>
    <s v="Corporate"/>
    <x v="1"/>
    <x v="2"/>
    <n v="1"/>
    <n v="162.38"/>
    <n v="0.05"/>
    <n v="162.38"/>
    <n v="21.92"/>
  </r>
  <r>
    <s v="ORD-0048"/>
    <x v="43"/>
    <x v="2"/>
    <s v="Houston"/>
    <s v="Corporate"/>
    <x v="2"/>
    <x v="3"/>
    <n v="8"/>
    <n v="399.96"/>
    <n v="0.05"/>
    <n v="3199.68"/>
    <n v="615.02"/>
  </r>
  <r>
    <s v="ORD-0049"/>
    <x v="44"/>
    <x v="2"/>
    <s v="Seattle"/>
    <s v="Home Office"/>
    <x v="0"/>
    <x v="4"/>
    <n v="4"/>
    <n v="406.18"/>
    <n v="0.05"/>
    <n v="1624.72"/>
    <n v="54.6"/>
  </r>
  <r>
    <s v="ORD-0050"/>
    <x v="45"/>
    <x v="3"/>
    <s v="Atlanta"/>
    <s v="Corporate"/>
    <x v="1"/>
    <x v="6"/>
    <n v="4"/>
    <n v="363.4"/>
    <n v="0.15"/>
    <n v="1453.6"/>
    <n v="154.22"/>
  </r>
  <r>
    <s v="ORD-0051"/>
    <x v="20"/>
    <x v="1"/>
    <s v="Los Angeles"/>
    <s v="Consumer"/>
    <x v="1"/>
    <x v="2"/>
    <n v="7"/>
    <n v="121.14"/>
    <n v="0.2"/>
    <n v="847.98"/>
    <n v="64.56"/>
  </r>
  <r>
    <s v="ORD-0052"/>
    <x v="46"/>
    <x v="1"/>
    <s v="Phoenix"/>
    <s v="Consumer"/>
    <x v="0"/>
    <x v="5"/>
    <n v="6"/>
    <n v="475.77"/>
    <n v="0.15"/>
    <n v="2854.62"/>
    <n v="387.27"/>
  </r>
  <r>
    <s v="ORD-0053"/>
    <x v="47"/>
    <x v="3"/>
    <s v="Phoenix"/>
    <s v="Consumer"/>
    <x v="1"/>
    <x v="1"/>
    <n v="8"/>
    <n v="140.71"/>
    <n v="0.05"/>
    <n v="1125.68"/>
    <n v="267.31"/>
  </r>
  <r>
    <s v="ORD-0054"/>
    <x v="48"/>
    <x v="3"/>
    <s v="Phoenix"/>
    <s v="Corporate"/>
    <x v="1"/>
    <x v="6"/>
    <n v="2"/>
    <n v="361.07"/>
    <n v="0.05"/>
    <n v="722.14"/>
    <n v="68.91"/>
  </r>
  <r>
    <s v="ORD-0055"/>
    <x v="49"/>
    <x v="0"/>
    <s v="Atlanta"/>
    <s v="Consumer"/>
    <x v="0"/>
    <x v="4"/>
    <n v="3"/>
    <n v="357.61"/>
    <n v="0"/>
    <n v="1072.83"/>
    <n v="164.91"/>
  </r>
  <r>
    <s v="ORD-0056"/>
    <x v="50"/>
    <x v="3"/>
    <s v="Atlanta"/>
    <s v="Consumer"/>
    <x v="2"/>
    <x v="8"/>
    <n v="7"/>
    <n v="453.85"/>
    <n v="0.2"/>
    <n v="3176.95"/>
    <n v="624.32000000000005"/>
  </r>
  <r>
    <s v="ORD-0057"/>
    <x v="51"/>
    <x v="3"/>
    <s v="Seattle"/>
    <s v="Corporate"/>
    <x v="2"/>
    <x v="8"/>
    <n v="7"/>
    <n v="428.92"/>
    <n v="0.15"/>
    <n v="3002.44"/>
    <n v="351.45"/>
  </r>
  <r>
    <s v="ORD-0058"/>
    <x v="1"/>
    <x v="1"/>
    <s v="Atlanta"/>
    <s v="Corporate"/>
    <x v="2"/>
    <x v="8"/>
    <n v="8"/>
    <n v="29.08"/>
    <n v="0.1"/>
    <n v="232.64"/>
    <n v="40.06"/>
  </r>
  <r>
    <s v="ORD-0059"/>
    <x v="52"/>
    <x v="1"/>
    <s v="New York"/>
    <s v="Home Office"/>
    <x v="2"/>
    <x v="8"/>
    <n v="7"/>
    <n v="302.07"/>
    <n v="0"/>
    <n v="2114.4899999999998"/>
    <n v="150.1"/>
  </r>
  <r>
    <s v="ORD-0060"/>
    <x v="53"/>
    <x v="1"/>
    <s v="Seattle"/>
    <s v="Consumer"/>
    <x v="2"/>
    <x v="8"/>
    <n v="7"/>
    <n v="173.77"/>
    <n v="0.15"/>
    <n v="1216.3900000000001"/>
    <n v="78.11"/>
  </r>
  <r>
    <s v="ORD-0061"/>
    <x v="4"/>
    <x v="2"/>
    <s v="Phoenix"/>
    <s v="Consumer"/>
    <x v="2"/>
    <x v="3"/>
    <n v="1"/>
    <n v="378.28"/>
    <n v="0"/>
    <n v="378.28"/>
    <n v="113.48"/>
  </r>
  <r>
    <s v="ORD-0062"/>
    <x v="54"/>
    <x v="1"/>
    <s v="New York"/>
    <s v="Home Office"/>
    <x v="1"/>
    <x v="6"/>
    <n v="1"/>
    <n v="475.56"/>
    <n v="0.05"/>
    <n v="475.56"/>
    <n v="112.85"/>
  </r>
  <r>
    <s v="ORD-0063"/>
    <x v="55"/>
    <x v="1"/>
    <s v="Los Angeles"/>
    <s v="Corporate"/>
    <x v="0"/>
    <x v="4"/>
    <n v="4"/>
    <n v="240.54"/>
    <n v="0.1"/>
    <n v="962.16"/>
    <n v="189.28"/>
  </r>
  <r>
    <s v="ORD-0064"/>
    <x v="56"/>
    <x v="0"/>
    <s v="New York"/>
    <s v="Consumer"/>
    <x v="0"/>
    <x v="5"/>
    <n v="5"/>
    <n v="294.26"/>
    <n v="0.15"/>
    <n v="1471.3"/>
    <n v="120.15"/>
  </r>
  <r>
    <s v="ORD-0065"/>
    <x v="57"/>
    <x v="0"/>
    <s v="Houston"/>
    <s v="Home Office"/>
    <x v="1"/>
    <x v="2"/>
    <n v="2"/>
    <n v="353.14"/>
    <n v="0.1"/>
    <n v="706.28"/>
    <n v="153.66999999999999"/>
  </r>
  <r>
    <s v="ORD-0066"/>
    <x v="58"/>
    <x v="0"/>
    <s v="Atlanta"/>
    <s v="Corporate"/>
    <x v="1"/>
    <x v="6"/>
    <n v="6"/>
    <n v="48.44"/>
    <n v="0.1"/>
    <n v="290.64"/>
    <n v="2.37"/>
  </r>
  <r>
    <s v="ORD-0067"/>
    <x v="59"/>
    <x v="3"/>
    <s v="Phoenix"/>
    <s v="Corporate"/>
    <x v="0"/>
    <x v="5"/>
    <n v="3"/>
    <n v="226.21"/>
    <n v="0.2"/>
    <n v="678.63"/>
    <n v="136.65"/>
  </r>
  <r>
    <s v="ORD-0068"/>
    <x v="60"/>
    <x v="3"/>
    <s v="Seattle"/>
    <s v="Home Office"/>
    <x v="2"/>
    <x v="3"/>
    <n v="6"/>
    <n v="428.08"/>
    <n v="0"/>
    <n v="2568.48"/>
    <n v="307.52999999999997"/>
  </r>
  <r>
    <s v="ORD-0069"/>
    <x v="61"/>
    <x v="1"/>
    <s v="Atlanta"/>
    <s v="Home Office"/>
    <x v="2"/>
    <x v="7"/>
    <n v="6"/>
    <n v="28.92"/>
    <n v="0.1"/>
    <n v="173.52"/>
    <n v="8.76"/>
  </r>
  <r>
    <s v="ORD-0070"/>
    <x v="62"/>
    <x v="2"/>
    <s v="Seattle"/>
    <s v="Corporate"/>
    <x v="2"/>
    <x v="3"/>
    <n v="1"/>
    <n v="265.56"/>
    <n v="0.05"/>
    <n v="265.56"/>
    <n v="12.99"/>
  </r>
  <r>
    <s v="ORD-0071"/>
    <x v="63"/>
    <x v="3"/>
    <s v="Phoenix"/>
    <s v="Home Office"/>
    <x v="1"/>
    <x v="6"/>
    <n v="8"/>
    <n v="232.36"/>
    <n v="0"/>
    <n v="1858.88"/>
    <n v="136.19"/>
  </r>
  <r>
    <s v="ORD-0072"/>
    <x v="64"/>
    <x v="3"/>
    <s v="Dallas"/>
    <s v="Corporate"/>
    <x v="1"/>
    <x v="6"/>
    <n v="8"/>
    <n v="283.43"/>
    <n v="0.1"/>
    <n v="2267.44"/>
    <n v="252.54"/>
  </r>
  <r>
    <s v="ORD-0073"/>
    <x v="65"/>
    <x v="2"/>
    <s v="Seattle"/>
    <s v="Corporate"/>
    <x v="2"/>
    <x v="7"/>
    <n v="5"/>
    <n v="136.93"/>
    <n v="0"/>
    <n v="684.65"/>
    <n v="157.69"/>
  </r>
  <r>
    <s v="ORD-0074"/>
    <x v="66"/>
    <x v="0"/>
    <s v="Chicago"/>
    <s v="Home Office"/>
    <x v="1"/>
    <x v="2"/>
    <n v="4"/>
    <n v="119.95"/>
    <n v="0.15"/>
    <n v="479.8"/>
    <n v="24.77"/>
  </r>
  <r>
    <s v="ORD-0075"/>
    <x v="67"/>
    <x v="2"/>
    <s v="Houston"/>
    <s v="Corporate"/>
    <x v="0"/>
    <x v="4"/>
    <n v="6"/>
    <n v="102.03"/>
    <n v="0"/>
    <n v="612.17999999999995"/>
    <n v="138.97"/>
  </r>
  <r>
    <s v="ORD-0076"/>
    <x v="68"/>
    <x v="2"/>
    <s v="Seattle"/>
    <s v="Home Office"/>
    <x v="0"/>
    <x v="4"/>
    <n v="3"/>
    <n v="324.37"/>
    <n v="0.15"/>
    <n v="973.11"/>
    <n v="7.93"/>
  </r>
  <r>
    <s v="ORD-0077"/>
    <x v="69"/>
    <x v="2"/>
    <s v="Dallas"/>
    <s v="Corporate"/>
    <x v="2"/>
    <x v="3"/>
    <n v="3"/>
    <n v="483.27"/>
    <n v="0.1"/>
    <n v="1449.81"/>
    <n v="348.34"/>
  </r>
  <r>
    <s v="ORD-0078"/>
    <x v="25"/>
    <x v="0"/>
    <s v="Los Angeles"/>
    <s v="Corporate"/>
    <x v="0"/>
    <x v="5"/>
    <n v="1"/>
    <n v="88.59"/>
    <n v="0.2"/>
    <n v="88.59"/>
    <n v="17.48"/>
  </r>
  <r>
    <s v="ORD-0079"/>
    <x v="70"/>
    <x v="1"/>
    <s v="Houston"/>
    <s v="Corporate"/>
    <x v="0"/>
    <x v="0"/>
    <n v="7"/>
    <n v="233.5"/>
    <n v="0.15"/>
    <n v="1634.5"/>
    <n v="92.9"/>
  </r>
  <r>
    <s v="ORD-0080"/>
    <x v="67"/>
    <x v="3"/>
    <s v="New York"/>
    <s v="Home Office"/>
    <x v="2"/>
    <x v="7"/>
    <n v="2"/>
    <n v="474.58"/>
    <n v="0.05"/>
    <n v="949.16"/>
    <n v="174.53"/>
  </r>
  <r>
    <s v="ORD-0081"/>
    <x v="39"/>
    <x v="0"/>
    <s v="Los Angeles"/>
    <s v="Consumer"/>
    <x v="0"/>
    <x v="4"/>
    <n v="3"/>
    <n v="16.3"/>
    <n v="0.15"/>
    <n v="48.9"/>
    <n v="7.57"/>
  </r>
  <r>
    <s v="ORD-0082"/>
    <x v="71"/>
    <x v="2"/>
    <s v="Seattle"/>
    <s v="Corporate"/>
    <x v="0"/>
    <x v="4"/>
    <n v="8"/>
    <n v="49.52"/>
    <n v="0.05"/>
    <n v="396.16"/>
    <n v="102.4"/>
  </r>
  <r>
    <s v="ORD-0083"/>
    <x v="72"/>
    <x v="1"/>
    <s v="Houston"/>
    <s v="Home Office"/>
    <x v="2"/>
    <x v="8"/>
    <n v="3"/>
    <n v="455.58"/>
    <n v="0.05"/>
    <n v="1366.74"/>
    <n v="61.99"/>
  </r>
  <r>
    <s v="ORD-0084"/>
    <x v="16"/>
    <x v="2"/>
    <s v="Seattle"/>
    <s v="Home Office"/>
    <x v="1"/>
    <x v="2"/>
    <n v="8"/>
    <n v="75.31"/>
    <n v="0.1"/>
    <n v="602.48"/>
    <n v="108.41"/>
  </r>
  <r>
    <s v="ORD-0085"/>
    <x v="73"/>
    <x v="3"/>
    <s v="New York"/>
    <s v="Home Office"/>
    <x v="2"/>
    <x v="8"/>
    <n v="7"/>
    <n v="371.25"/>
    <n v="0.2"/>
    <n v="2598.75"/>
    <n v="58.71"/>
  </r>
  <r>
    <s v="ORD-0086"/>
    <x v="74"/>
    <x v="1"/>
    <s v="New York"/>
    <s v="Home Office"/>
    <x v="1"/>
    <x v="2"/>
    <n v="5"/>
    <n v="294.48"/>
    <n v="0.05"/>
    <n v="1472.4"/>
    <n v="213.68"/>
  </r>
  <r>
    <s v="ORD-0087"/>
    <x v="23"/>
    <x v="3"/>
    <s v="Atlanta"/>
    <s v="Home Office"/>
    <x v="2"/>
    <x v="8"/>
    <n v="8"/>
    <n v="484.99"/>
    <n v="0.15"/>
    <n v="3879.92"/>
    <n v="269.62"/>
  </r>
  <r>
    <s v="ORD-0088"/>
    <x v="75"/>
    <x v="2"/>
    <s v="Dallas"/>
    <s v="Consumer"/>
    <x v="1"/>
    <x v="6"/>
    <n v="7"/>
    <n v="351.43"/>
    <n v="0.1"/>
    <n v="2460.0100000000002"/>
    <n v="419.79"/>
  </r>
  <r>
    <s v="ORD-0089"/>
    <x v="76"/>
    <x v="0"/>
    <s v="Seattle"/>
    <s v="Corporate"/>
    <x v="2"/>
    <x v="8"/>
    <n v="6"/>
    <n v="71.22"/>
    <n v="0.15"/>
    <n v="427.32"/>
    <n v="84.92"/>
  </r>
  <r>
    <s v="ORD-0090"/>
    <x v="77"/>
    <x v="3"/>
    <s v="Dallas"/>
    <s v="Consumer"/>
    <x v="2"/>
    <x v="8"/>
    <n v="8"/>
    <n v="318.32"/>
    <n v="0"/>
    <n v="2546.56"/>
    <n v="256.92"/>
  </r>
  <r>
    <s v="ORD-0091"/>
    <x v="65"/>
    <x v="1"/>
    <s v="Phoenix"/>
    <s v="Home Office"/>
    <x v="2"/>
    <x v="3"/>
    <n v="2"/>
    <n v="29"/>
    <n v="0.2"/>
    <n v="58"/>
    <n v="9.27"/>
  </r>
  <r>
    <s v="ORD-0092"/>
    <x v="78"/>
    <x v="1"/>
    <s v="Atlanta"/>
    <s v="Consumer"/>
    <x v="2"/>
    <x v="7"/>
    <n v="2"/>
    <n v="123.98"/>
    <n v="0"/>
    <n v="247.96"/>
    <n v="41"/>
  </r>
  <r>
    <s v="ORD-0093"/>
    <x v="79"/>
    <x v="1"/>
    <s v="Seattle"/>
    <s v="Corporate"/>
    <x v="2"/>
    <x v="7"/>
    <n v="7"/>
    <n v="419.84"/>
    <n v="0.15"/>
    <n v="2938.88"/>
    <n v="127.64"/>
  </r>
  <r>
    <s v="ORD-0094"/>
    <x v="80"/>
    <x v="1"/>
    <s v="Chicago"/>
    <s v="Home Office"/>
    <x v="2"/>
    <x v="8"/>
    <n v="2"/>
    <n v="148.97999999999999"/>
    <n v="0.15"/>
    <n v="297.95999999999998"/>
    <n v="20.100000000000001"/>
  </r>
  <r>
    <s v="ORD-0095"/>
    <x v="81"/>
    <x v="2"/>
    <s v="Seattle"/>
    <s v="Home Office"/>
    <x v="0"/>
    <x v="5"/>
    <n v="8"/>
    <n v="434.65"/>
    <n v="0.15"/>
    <n v="3477.2"/>
    <n v="407.34"/>
  </r>
  <r>
    <s v="ORD-0096"/>
    <x v="82"/>
    <x v="2"/>
    <s v="Phoenix"/>
    <s v="Corporate"/>
    <x v="1"/>
    <x v="2"/>
    <n v="6"/>
    <n v="436.76"/>
    <n v="0.05"/>
    <n v="2620.56"/>
    <n v="446.67"/>
  </r>
  <r>
    <s v="ORD-0097"/>
    <x v="83"/>
    <x v="3"/>
    <s v="Phoenix"/>
    <s v="Home Office"/>
    <x v="0"/>
    <x v="5"/>
    <n v="7"/>
    <n v="202.25"/>
    <n v="0.05"/>
    <n v="1415.75"/>
    <n v="214.25"/>
  </r>
  <r>
    <s v="ORD-0098"/>
    <x v="84"/>
    <x v="1"/>
    <s v="Los Angeles"/>
    <s v="Corporate"/>
    <x v="1"/>
    <x v="2"/>
    <n v="8"/>
    <n v="63.36"/>
    <n v="0.15"/>
    <n v="506.88"/>
    <n v="-6.93"/>
  </r>
  <r>
    <s v="ORD-0099"/>
    <x v="85"/>
    <x v="3"/>
    <s v="Phoenix"/>
    <s v="Consumer"/>
    <x v="1"/>
    <x v="6"/>
    <n v="5"/>
    <n v="179.2"/>
    <n v="0.15"/>
    <n v="896"/>
    <n v="129.88"/>
  </r>
  <r>
    <s v="ORD-0100"/>
    <x v="86"/>
    <x v="3"/>
    <s v="Phoenix"/>
    <s v="Home Office"/>
    <x v="2"/>
    <x v="7"/>
    <n v="1"/>
    <n v="314.47000000000003"/>
    <n v="0.05"/>
    <n v="314.47000000000003"/>
    <n v="58.27"/>
  </r>
  <r>
    <s v="ORD-0101"/>
    <x v="87"/>
    <x v="1"/>
    <s v="Los Angeles"/>
    <s v="Corporate"/>
    <x v="1"/>
    <x v="6"/>
    <n v="2"/>
    <n v="230.18"/>
    <n v="0.1"/>
    <n v="460.36"/>
    <n v="106.28"/>
  </r>
  <r>
    <s v="ORD-0102"/>
    <x v="88"/>
    <x v="2"/>
    <s v="Dallas"/>
    <s v="Corporate"/>
    <x v="0"/>
    <x v="5"/>
    <n v="7"/>
    <n v="85.6"/>
    <n v="0.2"/>
    <n v="599.20000000000005"/>
    <n v="37.76"/>
  </r>
  <r>
    <s v="ORD-0103"/>
    <x v="89"/>
    <x v="1"/>
    <s v="Atlanta"/>
    <s v="Consumer"/>
    <x v="0"/>
    <x v="4"/>
    <n v="4"/>
    <n v="256.37"/>
    <n v="0.2"/>
    <n v="1025.48"/>
    <n v="-4.33"/>
  </r>
  <r>
    <s v="ORD-0104"/>
    <x v="90"/>
    <x v="2"/>
    <s v="New York"/>
    <s v="Home Office"/>
    <x v="2"/>
    <x v="3"/>
    <n v="8"/>
    <n v="452.09"/>
    <n v="0.2"/>
    <n v="3616.72"/>
    <n v="-1.83"/>
  </r>
  <r>
    <s v="ORD-0105"/>
    <x v="91"/>
    <x v="2"/>
    <s v="Atlanta"/>
    <s v="Home Office"/>
    <x v="1"/>
    <x v="1"/>
    <n v="5"/>
    <n v="236.57"/>
    <n v="0.1"/>
    <n v="1182.8499999999999"/>
    <n v="64.83"/>
  </r>
  <r>
    <s v="ORD-0106"/>
    <x v="92"/>
    <x v="3"/>
    <s v="Dallas"/>
    <s v="Corporate"/>
    <x v="0"/>
    <x v="4"/>
    <n v="5"/>
    <n v="496.46"/>
    <n v="0.1"/>
    <n v="2482.3000000000002"/>
    <n v="26.03"/>
  </r>
  <r>
    <s v="ORD-0107"/>
    <x v="93"/>
    <x v="3"/>
    <s v="New York"/>
    <s v="Home Office"/>
    <x v="2"/>
    <x v="8"/>
    <n v="8"/>
    <n v="418.93"/>
    <n v="0.1"/>
    <n v="3351.44"/>
    <n v="666.72"/>
  </r>
  <r>
    <s v="ORD-0108"/>
    <x v="94"/>
    <x v="2"/>
    <s v="Seattle"/>
    <s v="Consumer"/>
    <x v="0"/>
    <x v="0"/>
    <n v="3"/>
    <n v="319.7"/>
    <n v="0"/>
    <n v="959.1"/>
    <n v="122.03"/>
  </r>
  <r>
    <s v="ORD-0109"/>
    <x v="95"/>
    <x v="0"/>
    <s v="Chicago"/>
    <s v="Home Office"/>
    <x v="1"/>
    <x v="1"/>
    <n v="2"/>
    <n v="456.17"/>
    <n v="0.1"/>
    <n v="912.34"/>
    <n v="175.05"/>
  </r>
  <r>
    <s v="ORD-0110"/>
    <x v="96"/>
    <x v="1"/>
    <s v="Seattle"/>
    <s v="Corporate"/>
    <x v="0"/>
    <x v="0"/>
    <n v="3"/>
    <n v="139.63"/>
    <n v="0.15"/>
    <n v="418.89"/>
    <n v="93.98"/>
  </r>
  <r>
    <s v="ORD-0111"/>
    <x v="97"/>
    <x v="2"/>
    <s v="Chicago"/>
    <s v="Consumer"/>
    <x v="0"/>
    <x v="5"/>
    <n v="4"/>
    <n v="432.17"/>
    <n v="0.15"/>
    <n v="1728.68"/>
    <n v="387.77"/>
  </r>
  <r>
    <s v="ORD-0112"/>
    <x v="46"/>
    <x v="2"/>
    <s v="Seattle"/>
    <s v="Consumer"/>
    <x v="0"/>
    <x v="5"/>
    <n v="2"/>
    <n v="235.57"/>
    <n v="0.1"/>
    <n v="471.14"/>
    <n v="71.209999999999994"/>
  </r>
  <r>
    <s v="ORD-0113"/>
    <x v="98"/>
    <x v="2"/>
    <s v="Phoenix"/>
    <s v="Consumer"/>
    <x v="0"/>
    <x v="0"/>
    <n v="1"/>
    <n v="315.48"/>
    <n v="0.2"/>
    <n v="315.48"/>
    <n v="13.25"/>
  </r>
  <r>
    <s v="ORD-0114"/>
    <x v="99"/>
    <x v="1"/>
    <s v="Phoenix"/>
    <s v="Home Office"/>
    <x v="1"/>
    <x v="6"/>
    <n v="5"/>
    <n v="329.88"/>
    <n v="0"/>
    <n v="1649.4"/>
    <n v="140.11000000000001"/>
  </r>
  <r>
    <s v="ORD-0115"/>
    <x v="100"/>
    <x v="2"/>
    <s v="Houston"/>
    <s v="Consumer"/>
    <x v="2"/>
    <x v="8"/>
    <n v="3"/>
    <n v="203.49"/>
    <n v="0.1"/>
    <n v="610.47"/>
    <n v="105.38"/>
  </r>
  <r>
    <s v="ORD-0116"/>
    <x v="101"/>
    <x v="3"/>
    <s v="Chicago"/>
    <s v="Home Office"/>
    <x v="1"/>
    <x v="2"/>
    <n v="7"/>
    <n v="332.64"/>
    <n v="0.15"/>
    <n v="2328.48"/>
    <n v="317.64"/>
  </r>
  <r>
    <s v="ORD-0117"/>
    <x v="102"/>
    <x v="0"/>
    <s v="Phoenix"/>
    <s v="Consumer"/>
    <x v="1"/>
    <x v="1"/>
    <n v="8"/>
    <n v="476.02"/>
    <n v="0.1"/>
    <n v="3808.16"/>
    <n v="113.63"/>
  </r>
  <r>
    <s v="ORD-0118"/>
    <x v="103"/>
    <x v="2"/>
    <s v="New York"/>
    <s v="Corporate"/>
    <x v="1"/>
    <x v="2"/>
    <n v="7"/>
    <n v="148.80000000000001"/>
    <n v="0"/>
    <n v="1041.5999999999999"/>
    <n v="299.2"/>
  </r>
  <r>
    <s v="ORD-0119"/>
    <x v="104"/>
    <x v="0"/>
    <s v="New York"/>
    <s v="Home Office"/>
    <x v="1"/>
    <x v="6"/>
    <n v="1"/>
    <n v="396.6"/>
    <n v="0.05"/>
    <n v="396.6"/>
    <n v="108.95"/>
  </r>
  <r>
    <s v="ORD-0120"/>
    <x v="105"/>
    <x v="1"/>
    <s v="Houston"/>
    <s v="Consumer"/>
    <x v="0"/>
    <x v="0"/>
    <n v="4"/>
    <n v="174.35"/>
    <n v="0.05"/>
    <n v="697.4"/>
    <n v="156.68"/>
  </r>
  <r>
    <s v="ORD-0121"/>
    <x v="106"/>
    <x v="0"/>
    <s v="Seattle"/>
    <s v="Consumer"/>
    <x v="2"/>
    <x v="8"/>
    <n v="3"/>
    <n v="68.31"/>
    <n v="0"/>
    <n v="204.93"/>
    <n v="17"/>
  </r>
  <r>
    <s v="ORD-0122"/>
    <x v="107"/>
    <x v="1"/>
    <s v="Chicago"/>
    <s v="Consumer"/>
    <x v="1"/>
    <x v="1"/>
    <n v="5"/>
    <n v="40.409999999999997"/>
    <n v="0.15"/>
    <n v="202.05"/>
    <n v="23.04"/>
  </r>
  <r>
    <s v="ORD-0123"/>
    <x v="108"/>
    <x v="3"/>
    <s v="Los Angeles"/>
    <s v="Home Office"/>
    <x v="2"/>
    <x v="3"/>
    <n v="8"/>
    <n v="259.36"/>
    <n v="0.2"/>
    <n v="2074.88"/>
    <n v="-60.5"/>
  </r>
  <r>
    <s v="ORD-0124"/>
    <x v="93"/>
    <x v="2"/>
    <s v="New York"/>
    <s v="Consumer"/>
    <x v="2"/>
    <x v="7"/>
    <n v="8"/>
    <n v="425.94"/>
    <n v="0.15"/>
    <n v="3407.52"/>
    <n v="524.84"/>
  </r>
  <r>
    <s v="ORD-0125"/>
    <x v="109"/>
    <x v="3"/>
    <s v="Chicago"/>
    <s v="Corporate"/>
    <x v="0"/>
    <x v="4"/>
    <n v="2"/>
    <n v="76.2"/>
    <n v="0.2"/>
    <n v="152.4"/>
    <n v="18.02"/>
  </r>
  <r>
    <s v="ORD-0126"/>
    <x v="110"/>
    <x v="2"/>
    <s v="Seattle"/>
    <s v="Home Office"/>
    <x v="2"/>
    <x v="7"/>
    <n v="8"/>
    <n v="260.19"/>
    <n v="0.15"/>
    <n v="2081.52"/>
    <n v="15.18"/>
  </r>
  <r>
    <s v="ORD-0127"/>
    <x v="36"/>
    <x v="0"/>
    <s v="Houston"/>
    <s v="Home Office"/>
    <x v="1"/>
    <x v="2"/>
    <n v="7"/>
    <n v="234"/>
    <n v="0.05"/>
    <n v="1638"/>
    <n v="214.5"/>
  </r>
  <r>
    <s v="ORD-0128"/>
    <x v="104"/>
    <x v="3"/>
    <s v="Dallas"/>
    <s v="Consumer"/>
    <x v="2"/>
    <x v="7"/>
    <n v="7"/>
    <n v="166.57"/>
    <n v="0.1"/>
    <n v="1165.99"/>
    <n v="114.94"/>
  </r>
  <r>
    <s v="ORD-0129"/>
    <x v="111"/>
    <x v="3"/>
    <s v="Los Angeles"/>
    <s v="Consumer"/>
    <x v="0"/>
    <x v="4"/>
    <n v="7"/>
    <n v="61.83"/>
    <n v="0.1"/>
    <n v="432.81"/>
    <n v="90"/>
  </r>
  <r>
    <s v="ORD-0130"/>
    <x v="112"/>
    <x v="0"/>
    <s v="Dallas"/>
    <s v="Home Office"/>
    <x v="1"/>
    <x v="2"/>
    <n v="2"/>
    <n v="214.24"/>
    <n v="0.15"/>
    <n v="428.48"/>
    <n v="85.49"/>
  </r>
  <r>
    <s v="ORD-0131"/>
    <x v="113"/>
    <x v="2"/>
    <s v="Los Angeles"/>
    <s v="Corporate"/>
    <x v="1"/>
    <x v="1"/>
    <n v="4"/>
    <n v="90.04"/>
    <n v="0.15"/>
    <n v="360.16"/>
    <n v="13.89"/>
  </r>
  <r>
    <s v="ORD-0132"/>
    <x v="114"/>
    <x v="2"/>
    <s v="Seattle"/>
    <s v="Consumer"/>
    <x v="1"/>
    <x v="1"/>
    <n v="4"/>
    <n v="406.5"/>
    <n v="0.2"/>
    <n v="1626"/>
    <n v="331.11"/>
  </r>
  <r>
    <s v="ORD-0133"/>
    <x v="55"/>
    <x v="0"/>
    <s v="Seattle"/>
    <s v="Home Office"/>
    <x v="1"/>
    <x v="2"/>
    <n v="1"/>
    <n v="102.5"/>
    <n v="0.1"/>
    <n v="102.5"/>
    <n v="24.13"/>
  </r>
  <r>
    <s v="ORD-0134"/>
    <x v="54"/>
    <x v="0"/>
    <s v="Atlanta"/>
    <s v="Home Office"/>
    <x v="0"/>
    <x v="4"/>
    <n v="2"/>
    <n v="83.81"/>
    <n v="0"/>
    <n v="167.62"/>
    <n v="12.23"/>
  </r>
  <r>
    <s v="ORD-0135"/>
    <x v="14"/>
    <x v="1"/>
    <s v="Dallas"/>
    <s v="Corporate"/>
    <x v="2"/>
    <x v="3"/>
    <n v="3"/>
    <n v="194.48"/>
    <n v="0.1"/>
    <n v="583.44000000000005"/>
    <n v="116.23"/>
  </r>
  <r>
    <s v="ORD-0136"/>
    <x v="115"/>
    <x v="0"/>
    <s v="New York"/>
    <s v="Consumer"/>
    <x v="0"/>
    <x v="4"/>
    <n v="2"/>
    <n v="146.97"/>
    <n v="0.15"/>
    <n v="293.94"/>
    <n v="30.54"/>
  </r>
  <r>
    <s v="ORD-0137"/>
    <x v="91"/>
    <x v="3"/>
    <s v="Los Angeles"/>
    <s v="Home Office"/>
    <x v="2"/>
    <x v="8"/>
    <n v="6"/>
    <n v="223.51"/>
    <n v="0.1"/>
    <n v="1341.06"/>
    <n v="234.09"/>
  </r>
  <r>
    <s v="ORD-0138"/>
    <x v="116"/>
    <x v="3"/>
    <s v="New York"/>
    <s v="Corporate"/>
    <x v="1"/>
    <x v="2"/>
    <n v="4"/>
    <n v="206.7"/>
    <n v="0.2"/>
    <n v="826.8"/>
    <n v="-21.75"/>
  </r>
  <r>
    <s v="ORD-0139"/>
    <x v="117"/>
    <x v="2"/>
    <s v="Seattle"/>
    <s v="Corporate"/>
    <x v="0"/>
    <x v="4"/>
    <n v="6"/>
    <n v="73.19"/>
    <n v="0.15"/>
    <n v="439.14"/>
    <n v="74.33"/>
  </r>
  <r>
    <s v="ORD-0140"/>
    <x v="96"/>
    <x v="1"/>
    <s v="Houston"/>
    <s v="Home Office"/>
    <x v="2"/>
    <x v="7"/>
    <n v="6"/>
    <n v="49.96"/>
    <n v="0"/>
    <n v="299.76"/>
    <n v="47.68"/>
  </r>
  <r>
    <s v="ORD-0141"/>
    <x v="118"/>
    <x v="0"/>
    <s v="Atlanta"/>
    <s v="Corporate"/>
    <x v="2"/>
    <x v="7"/>
    <n v="7"/>
    <n v="155.41"/>
    <n v="0.15"/>
    <n v="1087.8699999999999"/>
    <n v="-13.37"/>
  </r>
  <r>
    <s v="ORD-0142"/>
    <x v="119"/>
    <x v="1"/>
    <s v="Dallas"/>
    <s v="Home Office"/>
    <x v="1"/>
    <x v="1"/>
    <n v="2"/>
    <n v="226.81"/>
    <n v="0"/>
    <n v="453.62"/>
    <n v="50.27"/>
  </r>
  <r>
    <s v="ORD-0143"/>
    <x v="67"/>
    <x v="3"/>
    <s v="Seattle"/>
    <s v="Corporate"/>
    <x v="1"/>
    <x v="6"/>
    <n v="6"/>
    <n v="122.46"/>
    <n v="0.05"/>
    <n v="734.76"/>
    <n v="34.24"/>
  </r>
  <r>
    <s v="ORD-0144"/>
    <x v="120"/>
    <x v="0"/>
    <s v="Dallas"/>
    <s v="Consumer"/>
    <x v="1"/>
    <x v="2"/>
    <n v="6"/>
    <n v="367.78"/>
    <n v="0.05"/>
    <n v="2206.6799999999998"/>
    <n v="191.03"/>
  </r>
  <r>
    <s v="ORD-0145"/>
    <x v="121"/>
    <x v="2"/>
    <s v="Chicago"/>
    <s v="Home Office"/>
    <x v="0"/>
    <x v="4"/>
    <n v="2"/>
    <n v="100.92"/>
    <n v="0.15"/>
    <n v="201.84"/>
    <n v="19.88"/>
  </r>
  <r>
    <s v="ORD-0146"/>
    <x v="122"/>
    <x v="3"/>
    <s v="Dallas"/>
    <s v="Home Office"/>
    <x v="1"/>
    <x v="2"/>
    <n v="6"/>
    <n v="88.21"/>
    <n v="0"/>
    <n v="529.26"/>
    <n v="88.51"/>
  </r>
  <r>
    <s v="ORD-0147"/>
    <x v="123"/>
    <x v="2"/>
    <s v="Dallas"/>
    <s v="Consumer"/>
    <x v="2"/>
    <x v="7"/>
    <n v="2"/>
    <n v="165.55"/>
    <n v="0.15"/>
    <n v="331.1"/>
    <n v="-2.68"/>
  </r>
  <r>
    <s v="ORD-0148"/>
    <x v="124"/>
    <x v="2"/>
    <s v="Atlanta"/>
    <s v="Consumer"/>
    <x v="0"/>
    <x v="0"/>
    <n v="8"/>
    <n v="296.45999999999998"/>
    <n v="0"/>
    <n v="2371.6799999999998"/>
    <n v="385.24"/>
  </r>
  <r>
    <s v="ORD-0149"/>
    <x v="125"/>
    <x v="1"/>
    <s v="Chicago"/>
    <s v="Corporate"/>
    <x v="2"/>
    <x v="7"/>
    <n v="1"/>
    <n v="233.5"/>
    <n v="0.1"/>
    <n v="233.5"/>
    <n v="58.51"/>
  </r>
  <r>
    <s v="ORD-0150"/>
    <x v="70"/>
    <x v="1"/>
    <s v="Phoenix"/>
    <s v="Home Office"/>
    <x v="0"/>
    <x v="4"/>
    <n v="8"/>
    <n v="269.17"/>
    <n v="0.2"/>
    <n v="2153.36"/>
    <n v="-0.67"/>
  </r>
  <r>
    <s v="ORD-0151"/>
    <x v="126"/>
    <x v="2"/>
    <s v="New York"/>
    <s v="Corporate"/>
    <x v="2"/>
    <x v="3"/>
    <n v="6"/>
    <n v="46.97"/>
    <n v="0"/>
    <n v="281.82"/>
    <n v="53.4"/>
  </r>
  <r>
    <s v="ORD-0152"/>
    <x v="127"/>
    <x v="2"/>
    <s v="Chicago"/>
    <s v="Home Office"/>
    <x v="2"/>
    <x v="7"/>
    <n v="6"/>
    <n v="54.53"/>
    <n v="0.05"/>
    <n v="327.18"/>
    <n v="83.98"/>
  </r>
  <r>
    <s v="ORD-0153"/>
    <x v="128"/>
    <x v="3"/>
    <s v="Los Angeles"/>
    <s v="Home Office"/>
    <x v="0"/>
    <x v="0"/>
    <n v="5"/>
    <n v="286.08"/>
    <n v="0.1"/>
    <n v="1430.4"/>
    <n v="297.95"/>
  </r>
  <r>
    <s v="ORD-0154"/>
    <x v="41"/>
    <x v="0"/>
    <s v="Dallas"/>
    <s v="Corporate"/>
    <x v="1"/>
    <x v="2"/>
    <n v="1"/>
    <n v="190.86"/>
    <n v="0.05"/>
    <n v="190.86"/>
    <n v="50.63"/>
  </r>
  <r>
    <s v="ORD-0155"/>
    <x v="129"/>
    <x v="3"/>
    <s v="Chicago"/>
    <s v="Consumer"/>
    <x v="0"/>
    <x v="4"/>
    <n v="2"/>
    <n v="158.46"/>
    <n v="0"/>
    <n v="316.92"/>
    <n v="56.07"/>
  </r>
  <r>
    <s v="ORD-0156"/>
    <x v="130"/>
    <x v="0"/>
    <s v="Chicago"/>
    <s v="Home Office"/>
    <x v="1"/>
    <x v="1"/>
    <n v="7"/>
    <n v="89.81"/>
    <n v="0.05"/>
    <n v="628.66999999999996"/>
    <n v="147.94999999999999"/>
  </r>
  <r>
    <s v="ORD-0157"/>
    <x v="131"/>
    <x v="1"/>
    <s v="Atlanta"/>
    <s v="Consumer"/>
    <x v="1"/>
    <x v="1"/>
    <n v="6"/>
    <n v="343.04"/>
    <n v="0.05"/>
    <n v="2058.2399999999998"/>
    <n v="555.51"/>
  </r>
  <r>
    <s v="ORD-0158"/>
    <x v="99"/>
    <x v="2"/>
    <s v="Houston"/>
    <s v="Consumer"/>
    <x v="1"/>
    <x v="1"/>
    <n v="5"/>
    <n v="483.31"/>
    <n v="0.15"/>
    <n v="2416.5500000000002"/>
    <n v="503.84"/>
  </r>
  <r>
    <s v="ORD-0159"/>
    <x v="132"/>
    <x v="2"/>
    <s v="Phoenix"/>
    <s v="Corporate"/>
    <x v="1"/>
    <x v="2"/>
    <n v="5"/>
    <n v="392.39"/>
    <n v="0.2"/>
    <n v="1961.95"/>
    <n v="180.23"/>
  </r>
  <r>
    <s v="ORD-0160"/>
    <x v="133"/>
    <x v="1"/>
    <s v="New York"/>
    <s v="Corporate"/>
    <x v="1"/>
    <x v="6"/>
    <n v="8"/>
    <n v="438.95"/>
    <n v="0.2"/>
    <n v="3511.6"/>
    <n v="679.75"/>
  </r>
  <r>
    <s v="ORD-0161"/>
    <x v="134"/>
    <x v="0"/>
    <s v="Seattle"/>
    <s v="Consumer"/>
    <x v="2"/>
    <x v="8"/>
    <n v="8"/>
    <n v="454.07"/>
    <n v="0.05"/>
    <n v="3632.56"/>
    <n v="854.6"/>
  </r>
  <r>
    <s v="ORD-0162"/>
    <x v="74"/>
    <x v="1"/>
    <s v="Atlanta"/>
    <s v="Consumer"/>
    <x v="2"/>
    <x v="3"/>
    <n v="1"/>
    <n v="207.28"/>
    <n v="0.1"/>
    <n v="207.28"/>
    <n v="13.25"/>
  </r>
  <r>
    <s v="ORD-0163"/>
    <x v="135"/>
    <x v="2"/>
    <s v="Los Angeles"/>
    <s v="Corporate"/>
    <x v="0"/>
    <x v="4"/>
    <n v="6"/>
    <n v="398.82"/>
    <n v="0.05"/>
    <n v="2392.92"/>
    <n v="88.72"/>
  </r>
  <r>
    <s v="ORD-0164"/>
    <x v="136"/>
    <x v="1"/>
    <s v="New York"/>
    <s v="Corporate"/>
    <x v="1"/>
    <x v="1"/>
    <n v="2"/>
    <n v="24.22"/>
    <n v="0.05"/>
    <n v="48.44"/>
    <n v="11.44"/>
  </r>
  <r>
    <s v="ORD-0165"/>
    <x v="110"/>
    <x v="3"/>
    <s v="Seattle"/>
    <s v="Consumer"/>
    <x v="0"/>
    <x v="5"/>
    <n v="2"/>
    <n v="38.159999999999997"/>
    <n v="0.15"/>
    <n v="76.319999999999993"/>
    <n v="10.86"/>
  </r>
  <r>
    <s v="ORD-0166"/>
    <x v="55"/>
    <x v="3"/>
    <s v="New York"/>
    <s v="Corporate"/>
    <x v="0"/>
    <x v="4"/>
    <n v="4"/>
    <n v="363.49"/>
    <n v="0.1"/>
    <n v="1453.96"/>
    <n v="163.29"/>
  </r>
  <r>
    <s v="ORD-0167"/>
    <x v="137"/>
    <x v="2"/>
    <s v="Chicago"/>
    <s v="Corporate"/>
    <x v="0"/>
    <x v="0"/>
    <n v="2"/>
    <n v="268.89"/>
    <n v="0.1"/>
    <n v="537.78"/>
    <n v="11.79"/>
  </r>
  <r>
    <s v="ORD-0168"/>
    <x v="138"/>
    <x v="0"/>
    <s v="Atlanta"/>
    <s v="Consumer"/>
    <x v="2"/>
    <x v="3"/>
    <n v="6"/>
    <n v="138.02000000000001"/>
    <n v="0"/>
    <n v="828.12"/>
    <n v="115.34"/>
  </r>
  <r>
    <s v="ORD-0169"/>
    <x v="139"/>
    <x v="2"/>
    <s v="Los Angeles"/>
    <s v="Home Office"/>
    <x v="0"/>
    <x v="0"/>
    <n v="6"/>
    <n v="79.7"/>
    <n v="0.1"/>
    <n v="478.2"/>
    <n v="67.67"/>
  </r>
  <r>
    <s v="ORD-0170"/>
    <x v="9"/>
    <x v="1"/>
    <s v="Phoenix"/>
    <s v="Home Office"/>
    <x v="1"/>
    <x v="1"/>
    <n v="3"/>
    <n v="408.58"/>
    <n v="0"/>
    <n v="1225.74"/>
    <n v="280.70999999999998"/>
  </r>
  <r>
    <s v="ORD-0171"/>
    <x v="140"/>
    <x v="0"/>
    <s v="Houston"/>
    <s v="Consumer"/>
    <x v="2"/>
    <x v="8"/>
    <n v="1"/>
    <n v="168.06"/>
    <n v="0.1"/>
    <n v="168.06"/>
    <n v="22.49"/>
  </r>
  <r>
    <s v="ORD-0172"/>
    <x v="141"/>
    <x v="3"/>
    <s v="Houston"/>
    <s v="Home Office"/>
    <x v="2"/>
    <x v="8"/>
    <n v="5"/>
    <n v="188.13"/>
    <n v="0"/>
    <n v="940.65"/>
    <n v="250.64"/>
  </r>
  <r>
    <s v="ORD-0173"/>
    <x v="50"/>
    <x v="2"/>
    <s v="Atlanta"/>
    <s v="Corporate"/>
    <x v="0"/>
    <x v="5"/>
    <n v="8"/>
    <n v="448.9"/>
    <n v="0.15"/>
    <n v="3591.2"/>
    <n v="241.54"/>
  </r>
  <r>
    <s v="ORD-0174"/>
    <x v="142"/>
    <x v="3"/>
    <s v="Seattle"/>
    <s v="Corporate"/>
    <x v="1"/>
    <x v="1"/>
    <n v="2"/>
    <n v="367.63"/>
    <n v="0"/>
    <n v="735.26"/>
    <n v="115.92"/>
  </r>
  <r>
    <s v="ORD-0175"/>
    <x v="143"/>
    <x v="2"/>
    <s v="Dallas"/>
    <s v="Consumer"/>
    <x v="2"/>
    <x v="8"/>
    <n v="5"/>
    <n v="163.65"/>
    <n v="0.2"/>
    <n v="818.25"/>
    <n v="114.08"/>
  </r>
  <r>
    <s v="ORD-0176"/>
    <x v="56"/>
    <x v="3"/>
    <s v="Dallas"/>
    <s v="Consumer"/>
    <x v="2"/>
    <x v="3"/>
    <n v="7"/>
    <n v="148.16"/>
    <n v="0"/>
    <n v="1037.1199999999999"/>
    <n v="71.31"/>
  </r>
  <r>
    <s v="ORD-0177"/>
    <x v="98"/>
    <x v="3"/>
    <s v="Chicago"/>
    <s v="Home Office"/>
    <x v="2"/>
    <x v="7"/>
    <n v="1"/>
    <n v="84.25"/>
    <n v="0.2"/>
    <n v="84.25"/>
    <n v="10.91"/>
  </r>
  <r>
    <s v="ORD-0178"/>
    <x v="144"/>
    <x v="0"/>
    <s v="Dallas"/>
    <s v="Consumer"/>
    <x v="0"/>
    <x v="4"/>
    <n v="6"/>
    <n v="200.68"/>
    <n v="0.2"/>
    <n v="1204.08"/>
    <n v="-38.409999999999997"/>
  </r>
  <r>
    <s v="ORD-0179"/>
    <x v="111"/>
    <x v="3"/>
    <s v="Los Angeles"/>
    <s v="Corporate"/>
    <x v="2"/>
    <x v="3"/>
    <n v="3"/>
    <n v="271.79000000000002"/>
    <n v="0.15"/>
    <n v="815.37"/>
    <n v="49.82"/>
  </r>
  <r>
    <s v="ORD-0180"/>
    <x v="38"/>
    <x v="1"/>
    <s v="Chicago"/>
    <s v="Home Office"/>
    <x v="0"/>
    <x v="4"/>
    <n v="8"/>
    <n v="266.11"/>
    <n v="0.2"/>
    <n v="2128.88"/>
    <n v="-22.48"/>
  </r>
  <r>
    <s v="ORD-0181"/>
    <x v="27"/>
    <x v="3"/>
    <s v="Phoenix"/>
    <s v="Corporate"/>
    <x v="0"/>
    <x v="0"/>
    <n v="4"/>
    <n v="74.48"/>
    <n v="0"/>
    <n v="297.92"/>
    <n v="48.56"/>
  </r>
  <r>
    <s v="ORD-0182"/>
    <x v="145"/>
    <x v="0"/>
    <s v="Dallas"/>
    <s v="Home Office"/>
    <x v="1"/>
    <x v="1"/>
    <n v="2"/>
    <n v="281.75"/>
    <n v="0.1"/>
    <n v="563.5"/>
    <n v="128.38"/>
  </r>
  <r>
    <s v="ORD-0183"/>
    <x v="146"/>
    <x v="1"/>
    <s v="Los Angeles"/>
    <s v="Consumer"/>
    <x v="2"/>
    <x v="7"/>
    <n v="4"/>
    <n v="399.15"/>
    <n v="0.05"/>
    <n v="1596.6"/>
    <n v="359.38"/>
  </r>
  <r>
    <s v="ORD-0184"/>
    <x v="147"/>
    <x v="2"/>
    <s v="Phoenix"/>
    <s v="Corporate"/>
    <x v="1"/>
    <x v="2"/>
    <n v="3"/>
    <n v="311.79000000000002"/>
    <n v="0"/>
    <n v="935.37"/>
    <n v="62.14"/>
  </r>
  <r>
    <s v="ORD-0185"/>
    <x v="148"/>
    <x v="3"/>
    <s v="Los Angeles"/>
    <s v="Corporate"/>
    <x v="1"/>
    <x v="1"/>
    <n v="3"/>
    <n v="486.6"/>
    <n v="0"/>
    <n v="1459.8"/>
    <n v="237.21"/>
  </r>
  <r>
    <s v="ORD-0186"/>
    <x v="149"/>
    <x v="2"/>
    <s v="Chicago"/>
    <s v="Home Office"/>
    <x v="0"/>
    <x v="0"/>
    <n v="3"/>
    <n v="224.82"/>
    <n v="0"/>
    <n v="674.46"/>
    <n v="173.91"/>
  </r>
  <r>
    <s v="ORD-0187"/>
    <x v="150"/>
    <x v="1"/>
    <s v="Dallas"/>
    <s v="Consumer"/>
    <x v="2"/>
    <x v="8"/>
    <n v="4"/>
    <n v="182.82"/>
    <n v="0.2"/>
    <n v="731.28"/>
    <n v="134.36000000000001"/>
  </r>
  <r>
    <s v="ORD-0188"/>
    <x v="151"/>
    <x v="2"/>
    <s v="Seattle"/>
    <s v="Home Office"/>
    <x v="0"/>
    <x v="0"/>
    <n v="3"/>
    <n v="318.14"/>
    <n v="0.2"/>
    <n v="954.42"/>
    <n v="89.11"/>
  </r>
  <r>
    <s v="ORD-0189"/>
    <x v="152"/>
    <x v="1"/>
    <s v="Chicago"/>
    <s v="Consumer"/>
    <x v="1"/>
    <x v="2"/>
    <n v="6"/>
    <n v="423.63"/>
    <n v="0.2"/>
    <n v="2541.7800000000002"/>
    <n v="-75.489999999999995"/>
  </r>
  <r>
    <s v="ORD-0190"/>
    <x v="153"/>
    <x v="0"/>
    <s v="Seattle"/>
    <s v="Home Office"/>
    <x v="0"/>
    <x v="0"/>
    <n v="4"/>
    <n v="386.98"/>
    <n v="0.15"/>
    <n v="1547.92"/>
    <n v="212.11"/>
  </r>
  <r>
    <s v="ORD-0191"/>
    <x v="154"/>
    <x v="3"/>
    <s v="Seattle"/>
    <s v="Corporate"/>
    <x v="1"/>
    <x v="2"/>
    <n v="8"/>
    <n v="133.77000000000001"/>
    <n v="0.15"/>
    <n v="1070.1600000000001"/>
    <n v="60.85"/>
  </r>
  <r>
    <s v="ORD-0192"/>
    <x v="28"/>
    <x v="0"/>
    <s v="Phoenix"/>
    <s v="Corporate"/>
    <x v="0"/>
    <x v="5"/>
    <n v="8"/>
    <n v="113.95"/>
    <n v="0.2"/>
    <n v="911.6"/>
    <n v="-3.72"/>
  </r>
  <r>
    <s v="ORD-0193"/>
    <x v="49"/>
    <x v="2"/>
    <s v="Los Angeles"/>
    <s v="Corporate"/>
    <x v="2"/>
    <x v="8"/>
    <n v="6"/>
    <n v="132.24"/>
    <n v="0"/>
    <n v="793.44"/>
    <n v="92.73"/>
  </r>
  <r>
    <s v="ORD-0194"/>
    <x v="155"/>
    <x v="1"/>
    <s v="Atlanta"/>
    <s v="Corporate"/>
    <x v="0"/>
    <x v="4"/>
    <n v="7"/>
    <n v="135.41"/>
    <n v="0.05"/>
    <n v="947.87"/>
    <n v="218.83"/>
  </r>
  <r>
    <s v="ORD-0195"/>
    <x v="40"/>
    <x v="2"/>
    <s v="Phoenix"/>
    <s v="Corporate"/>
    <x v="0"/>
    <x v="4"/>
    <n v="8"/>
    <n v="441.35"/>
    <n v="0.15"/>
    <n v="3530.8"/>
    <n v="-41.33"/>
  </r>
  <r>
    <s v="ORD-0196"/>
    <x v="156"/>
    <x v="3"/>
    <s v="Dallas"/>
    <s v="Home Office"/>
    <x v="0"/>
    <x v="4"/>
    <n v="1"/>
    <n v="39.51"/>
    <n v="0.15"/>
    <n v="39.51"/>
    <n v="5.21"/>
  </r>
  <r>
    <s v="ORD-0197"/>
    <x v="30"/>
    <x v="3"/>
    <s v="Los Angeles"/>
    <s v="Consumer"/>
    <x v="2"/>
    <x v="7"/>
    <n v="7"/>
    <n v="79.959999999999994"/>
    <n v="0.1"/>
    <n v="559.72"/>
    <n v="104.6"/>
  </r>
  <r>
    <s v="ORD-0198"/>
    <x v="157"/>
    <x v="2"/>
    <s v="Houston"/>
    <s v="Consumer"/>
    <x v="0"/>
    <x v="5"/>
    <n v="6"/>
    <n v="283.31"/>
    <n v="0"/>
    <n v="1699.86"/>
    <n v="249.18"/>
  </r>
  <r>
    <s v="ORD-0199"/>
    <x v="61"/>
    <x v="2"/>
    <s v="Los Angeles"/>
    <s v="Home Office"/>
    <x v="1"/>
    <x v="2"/>
    <n v="3"/>
    <n v="487.92"/>
    <n v="0.15"/>
    <n v="1463.76"/>
    <n v="110.95"/>
  </r>
  <r>
    <s v="ORD-0200"/>
    <x v="158"/>
    <x v="2"/>
    <s v="Atlanta"/>
    <s v="Home Office"/>
    <x v="0"/>
    <x v="4"/>
    <n v="1"/>
    <n v="36.97"/>
    <n v="0.05"/>
    <n v="36.97"/>
    <n v="7.61"/>
  </r>
  <r>
    <s v="ORD-0201"/>
    <x v="159"/>
    <x v="3"/>
    <s v="Chicago"/>
    <s v="Home Office"/>
    <x v="0"/>
    <x v="0"/>
    <n v="6"/>
    <n v="466.71"/>
    <n v="0.1"/>
    <n v="2800.26"/>
    <n v="127.76"/>
  </r>
  <r>
    <s v="ORD-0202"/>
    <x v="160"/>
    <x v="2"/>
    <s v="Phoenix"/>
    <s v="Home Office"/>
    <x v="1"/>
    <x v="1"/>
    <n v="5"/>
    <n v="245.32"/>
    <n v="0"/>
    <n v="1226.5999999999999"/>
    <n v="174.29"/>
  </r>
  <r>
    <s v="ORD-0203"/>
    <x v="161"/>
    <x v="0"/>
    <s v="New York"/>
    <s v="Corporate"/>
    <x v="2"/>
    <x v="7"/>
    <n v="8"/>
    <n v="143.78"/>
    <n v="0.2"/>
    <n v="1150.24"/>
    <n v="120.09"/>
  </r>
  <r>
    <s v="ORD-0204"/>
    <x v="113"/>
    <x v="3"/>
    <s v="Atlanta"/>
    <s v="Home Office"/>
    <x v="0"/>
    <x v="0"/>
    <n v="3"/>
    <n v="413.51"/>
    <n v="0.05"/>
    <n v="1240.53"/>
    <n v="43.91"/>
  </r>
  <r>
    <s v="ORD-0205"/>
    <x v="162"/>
    <x v="0"/>
    <s v="Dallas"/>
    <s v="Corporate"/>
    <x v="0"/>
    <x v="4"/>
    <n v="7"/>
    <n v="88.44"/>
    <n v="0.05"/>
    <n v="619.08000000000004"/>
    <n v="80.540000000000006"/>
  </r>
  <r>
    <s v="ORD-0206"/>
    <x v="163"/>
    <x v="3"/>
    <s v="Chicago"/>
    <s v="Consumer"/>
    <x v="1"/>
    <x v="2"/>
    <n v="4"/>
    <n v="287.02999999999997"/>
    <n v="0.15"/>
    <n v="1148.1199999999999"/>
    <n v="130.74"/>
  </r>
  <r>
    <s v="ORD-0207"/>
    <x v="164"/>
    <x v="1"/>
    <s v="Dallas"/>
    <s v="Corporate"/>
    <x v="2"/>
    <x v="7"/>
    <n v="5"/>
    <n v="310.89"/>
    <n v="0.05"/>
    <n v="1554.45"/>
    <n v="414.78"/>
  </r>
  <r>
    <s v="ORD-0208"/>
    <x v="38"/>
    <x v="2"/>
    <s v="Houston"/>
    <s v="Corporate"/>
    <x v="0"/>
    <x v="5"/>
    <n v="8"/>
    <n v="168.76"/>
    <n v="0.1"/>
    <n v="1350.08"/>
    <n v="195.93"/>
  </r>
  <r>
    <s v="ORD-0209"/>
    <x v="165"/>
    <x v="2"/>
    <s v="Atlanta"/>
    <s v="Home Office"/>
    <x v="0"/>
    <x v="0"/>
    <n v="7"/>
    <n v="411.91"/>
    <n v="0.05"/>
    <n v="2883.37"/>
    <n v="288.66000000000003"/>
  </r>
  <r>
    <s v="ORD-0210"/>
    <x v="87"/>
    <x v="0"/>
    <s v="Seattle"/>
    <s v="Home Office"/>
    <x v="2"/>
    <x v="3"/>
    <n v="8"/>
    <n v="118.78"/>
    <n v="0.2"/>
    <n v="950.24"/>
    <n v="26.4"/>
  </r>
  <r>
    <s v="ORD-0211"/>
    <x v="2"/>
    <x v="2"/>
    <s v="Houston"/>
    <s v="Home Office"/>
    <x v="0"/>
    <x v="4"/>
    <n v="4"/>
    <n v="39.619999999999997"/>
    <n v="0.2"/>
    <n v="158.47999999999999"/>
    <n v="2.6"/>
  </r>
  <r>
    <s v="ORD-0212"/>
    <x v="83"/>
    <x v="0"/>
    <s v="Phoenix"/>
    <s v="Corporate"/>
    <x v="0"/>
    <x v="5"/>
    <n v="2"/>
    <n v="345.38"/>
    <n v="0.05"/>
    <n v="690.76"/>
    <n v="19.89"/>
  </r>
  <r>
    <s v="ORD-0213"/>
    <x v="65"/>
    <x v="1"/>
    <s v="Phoenix"/>
    <s v="Corporate"/>
    <x v="2"/>
    <x v="7"/>
    <n v="4"/>
    <n v="381.62"/>
    <n v="0.1"/>
    <n v="1526.48"/>
    <n v="130.19999999999999"/>
  </r>
  <r>
    <s v="ORD-0214"/>
    <x v="166"/>
    <x v="0"/>
    <s v="Houston"/>
    <s v="Home Office"/>
    <x v="0"/>
    <x v="0"/>
    <n v="1"/>
    <n v="457.92"/>
    <n v="0.05"/>
    <n v="457.92"/>
    <n v="60.43"/>
  </r>
  <r>
    <s v="ORD-0215"/>
    <x v="35"/>
    <x v="0"/>
    <s v="Seattle"/>
    <s v="Consumer"/>
    <x v="2"/>
    <x v="3"/>
    <n v="1"/>
    <n v="19.489999999999998"/>
    <n v="0.2"/>
    <n v="19.489999999999998"/>
    <n v="2.16"/>
  </r>
  <r>
    <s v="ORD-0216"/>
    <x v="167"/>
    <x v="2"/>
    <s v="Phoenix"/>
    <s v="Home Office"/>
    <x v="2"/>
    <x v="7"/>
    <n v="3"/>
    <n v="427.76"/>
    <n v="0.15"/>
    <n v="1283.28"/>
    <n v="65.069999999999993"/>
  </r>
  <r>
    <s v="ORD-0217"/>
    <x v="168"/>
    <x v="2"/>
    <s v="Seattle"/>
    <s v="Corporate"/>
    <x v="0"/>
    <x v="0"/>
    <n v="3"/>
    <n v="21.83"/>
    <n v="0.1"/>
    <n v="65.489999999999995"/>
    <n v="13.27"/>
  </r>
  <r>
    <s v="ORD-0218"/>
    <x v="115"/>
    <x v="1"/>
    <s v="Atlanta"/>
    <s v="Home Office"/>
    <x v="0"/>
    <x v="0"/>
    <n v="7"/>
    <n v="264.91000000000003"/>
    <n v="0"/>
    <n v="1854.37"/>
    <n v="278.54000000000002"/>
  </r>
  <r>
    <s v="ORD-0219"/>
    <x v="169"/>
    <x v="1"/>
    <s v="Houston"/>
    <s v="Corporate"/>
    <x v="0"/>
    <x v="5"/>
    <n v="1"/>
    <n v="141.47999999999999"/>
    <n v="0.05"/>
    <n v="141.47999999999999"/>
    <n v="19.690000000000001"/>
  </r>
  <r>
    <s v="ORD-0220"/>
    <x v="170"/>
    <x v="2"/>
    <s v="New York"/>
    <s v="Home Office"/>
    <x v="2"/>
    <x v="7"/>
    <n v="5"/>
    <n v="332.04"/>
    <n v="0.05"/>
    <n v="1660.2"/>
    <n v="71.44"/>
  </r>
  <r>
    <s v="ORD-0221"/>
    <x v="79"/>
    <x v="3"/>
    <s v="Seattle"/>
    <s v="Corporate"/>
    <x v="2"/>
    <x v="8"/>
    <n v="2"/>
    <n v="324.77"/>
    <n v="0.1"/>
    <n v="649.54"/>
    <n v="62.93"/>
  </r>
  <r>
    <s v="ORD-0222"/>
    <x v="64"/>
    <x v="1"/>
    <s v="Phoenix"/>
    <s v="Consumer"/>
    <x v="0"/>
    <x v="5"/>
    <n v="6"/>
    <n v="216.69"/>
    <n v="0.2"/>
    <n v="1300.1400000000001"/>
    <n v="244.69"/>
  </r>
  <r>
    <s v="ORD-0223"/>
    <x v="171"/>
    <x v="1"/>
    <s v="Los Angeles"/>
    <s v="Home Office"/>
    <x v="0"/>
    <x v="0"/>
    <n v="8"/>
    <n v="271.16000000000003"/>
    <n v="0.1"/>
    <n v="2169.2800000000002"/>
    <n v="53.2"/>
  </r>
  <r>
    <s v="ORD-0224"/>
    <x v="122"/>
    <x v="0"/>
    <s v="Houston"/>
    <s v="Home Office"/>
    <x v="0"/>
    <x v="0"/>
    <n v="3"/>
    <n v="94.8"/>
    <n v="0.2"/>
    <n v="284.39999999999998"/>
    <n v="20.04"/>
  </r>
  <r>
    <s v="ORD-0225"/>
    <x v="149"/>
    <x v="1"/>
    <s v="Los Angeles"/>
    <s v="Corporate"/>
    <x v="1"/>
    <x v="2"/>
    <n v="8"/>
    <n v="407.22"/>
    <n v="0.15"/>
    <n v="3257.76"/>
    <n v="50.45"/>
  </r>
  <r>
    <s v="ORD-0226"/>
    <x v="172"/>
    <x v="3"/>
    <s v="Phoenix"/>
    <s v="Home Office"/>
    <x v="1"/>
    <x v="6"/>
    <n v="5"/>
    <n v="365.79"/>
    <n v="0.15"/>
    <n v="1828.95"/>
    <n v="84.34"/>
  </r>
  <r>
    <s v="ORD-0227"/>
    <x v="173"/>
    <x v="1"/>
    <s v="Atlanta"/>
    <s v="Consumer"/>
    <x v="1"/>
    <x v="6"/>
    <n v="6"/>
    <n v="354.69"/>
    <n v="0.2"/>
    <n v="2128.14"/>
    <n v="443.78"/>
  </r>
  <r>
    <s v="ORD-0228"/>
    <x v="174"/>
    <x v="3"/>
    <s v="Chicago"/>
    <s v="Corporate"/>
    <x v="0"/>
    <x v="5"/>
    <n v="3"/>
    <n v="386.43"/>
    <n v="0.15"/>
    <n v="1159.29"/>
    <n v="88.24"/>
  </r>
  <r>
    <s v="ORD-0229"/>
    <x v="175"/>
    <x v="3"/>
    <s v="Chicago"/>
    <s v="Consumer"/>
    <x v="2"/>
    <x v="3"/>
    <n v="6"/>
    <n v="72.540000000000006"/>
    <n v="0.2"/>
    <n v="435.24"/>
    <n v="25.36"/>
  </r>
  <r>
    <s v="ORD-0230"/>
    <x v="176"/>
    <x v="1"/>
    <s v="Phoenix"/>
    <s v="Corporate"/>
    <x v="0"/>
    <x v="4"/>
    <n v="7"/>
    <n v="272.99"/>
    <n v="0.05"/>
    <n v="1910.93"/>
    <n v="170.8"/>
  </r>
  <r>
    <s v="ORD-0231"/>
    <x v="177"/>
    <x v="1"/>
    <s v="Los Angeles"/>
    <s v="Home Office"/>
    <x v="2"/>
    <x v="8"/>
    <n v="1"/>
    <n v="407.6"/>
    <n v="0.15"/>
    <n v="407.6"/>
    <n v="55.53"/>
  </r>
  <r>
    <s v="ORD-0232"/>
    <x v="178"/>
    <x v="1"/>
    <s v="New York"/>
    <s v="Consumer"/>
    <x v="0"/>
    <x v="4"/>
    <n v="8"/>
    <n v="304.93"/>
    <n v="0"/>
    <n v="2439.44"/>
    <n v="271.23"/>
  </r>
  <r>
    <s v="ORD-0233"/>
    <x v="179"/>
    <x v="3"/>
    <s v="Houston"/>
    <s v="Home Office"/>
    <x v="2"/>
    <x v="8"/>
    <n v="1"/>
    <n v="82.97"/>
    <n v="0.1"/>
    <n v="82.97"/>
    <n v="5.27"/>
  </r>
  <r>
    <s v="ORD-0234"/>
    <x v="180"/>
    <x v="2"/>
    <s v="Dallas"/>
    <s v="Home Office"/>
    <x v="1"/>
    <x v="2"/>
    <n v="4"/>
    <n v="161.36000000000001"/>
    <n v="0.05"/>
    <n v="645.44000000000005"/>
    <n v="176.8"/>
  </r>
  <r>
    <s v="ORD-0235"/>
    <x v="181"/>
    <x v="1"/>
    <s v="New York"/>
    <s v="Corporate"/>
    <x v="2"/>
    <x v="3"/>
    <n v="3"/>
    <n v="318.61"/>
    <n v="0.15"/>
    <n v="955.83"/>
    <n v="116.1"/>
  </r>
  <r>
    <s v="ORD-0236"/>
    <x v="182"/>
    <x v="2"/>
    <s v="Dallas"/>
    <s v="Corporate"/>
    <x v="1"/>
    <x v="2"/>
    <n v="7"/>
    <n v="213.01"/>
    <n v="0.1"/>
    <n v="1491.07"/>
    <n v="147.79"/>
  </r>
  <r>
    <s v="ORD-0237"/>
    <x v="171"/>
    <x v="3"/>
    <s v="Chicago"/>
    <s v="Corporate"/>
    <x v="0"/>
    <x v="4"/>
    <n v="8"/>
    <n v="458.65"/>
    <n v="0.2"/>
    <n v="3669.2"/>
    <n v="231.78"/>
  </r>
  <r>
    <s v="ORD-0238"/>
    <x v="183"/>
    <x v="1"/>
    <s v="Houston"/>
    <s v="Corporate"/>
    <x v="2"/>
    <x v="8"/>
    <n v="6"/>
    <n v="328.65"/>
    <n v="0.15"/>
    <n v="1971.9"/>
    <n v="383.11"/>
  </r>
  <r>
    <s v="ORD-0239"/>
    <x v="184"/>
    <x v="1"/>
    <s v="New York"/>
    <s v="Corporate"/>
    <x v="0"/>
    <x v="5"/>
    <n v="2"/>
    <n v="106.26"/>
    <n v="0.2"/>
    <n v="212.52"/>
    <n v="29.98"/>
  </r>
  <r>
    <s v="ORD-0240"/>
    <x v="185"/>
    <x v="1"/>
    <s v="Seattle"/>
    <s v="Corporate"/>
    <x v="2"/>
    <x v="8"/>
    <n v="1"/>
    <n v="117.73"/>
    <n v="0.05"/>
    <n v="117.73"/>
    <n v="31.55"/>
  </r>
  <r>
    <s v="ORD-0241"/>
    <x v="79"/>
    <x v="3"/>
    <s v="Houston"/>
    <s v="Home Office"/>
    <x v="0"/>
    <x v="0"/>
    <n v="7"/>
    <n v="458.84"/>
    <n v="0.2"/>
    <n v="3211.88"/>
    <n v="129.77000000000001"/>
  </r>
  <r>
    <s v="ORD-0242"/>
    <x v="186"/>
    <x v="3"/>
    <s v="Dallas"/>
    <s v="Home Office"/>
    <x v="2"/>
    <x v="7"/>
    <n v="5"/>
    <n v="141.86000000000001"/>
    <n v="0.2"/>
    <n v="709.3"/>
    <n v="128.16999999999999"/>
  </r>
  <r>
    <s v="ORD-0243"/>
    <x v="187"/>
    <x v="0"/>
    <s v="Houston"/>
    <s v="Corporate"/>
    <x v="1"/>
    <x v="1"/>
    <n v="6"/>
    <n v="166.77"/>
    <n v="0"/>
    <n v="1000.62"/>
    <n v="190.75"/>
  </r>
  <r>
    <s v="ORD-0244"/>
    <x v="64"/>
    <x v="1"/>
    <s v="Atlanta"/>
    <s v="Home Office"/>
    <x v="0"/>
    <x v="5"/>
    <n v="5"/>
    <n v="88.92"/>
    <n v="0.1"/>
    <n v="444.6"/>
    <n v="27.79"/>
  </r>
  <r>
    <s v="ORD-0245"/>
    <x v="26"/>
    <x v="1"/>
    <s v="Dallas"/>
    <s v="Home Office"/>
    <x v="2"/>
    <x v="7"/>
    <n v="5"/>
    <n v="385.23"/>
    <n v="0.15"/>
    <n v="1926.15"/>
    <n v="431.7"/>
  </r>
  <r>
    <s v="ORD-0246"/>
    <x v="188"/>
    <x v="3"/>
    <s v="Dallas"/>
    <s v="Home Office"/>
    <x v="2"/>
    <x v="8"/>
    <n v="3"/>
    <n v="82.88"/>
    <n v="0.2"/>
    <n v="248.64"/>
    <n v="20.41"/>
  </r>
  <r>
    <s v="ORD-0247"/>
    <x v="189"/>
    <x v="0"/>
    <s v="New York"/>
    <s v="Consumer"/>
    <x v="1"/>
    <x v="6"/>
    <n v="1"/>
    <n v="215.01"/>
    <n v="0.05"/>
    <n v="215.01"/>
    <n v="9.57"/>
  </r>
  <r>
    <s v="ORD-0248"/>
    <x v="190"/>
    <x v="0"/>
    <s v="Dallas"/>
    <s v="Corporate"/>
    <x v="0"/>
    <x v="0"/>
    <n v="1"/>
    <n v="314.64999999999998"/>
    <n v="0.2"/>
    <n v="314.64999999999998"/>
    <n v="59.21"/>
  </r>
  <r>
    <s v="ORD-0249"/>
    <x v="93"/>
    <x v="3"/>
    <s v="Atlanta"/>
    <s v="Home Office"/>
    <x v="0"/>
    <x v="4"/>
    <n v="1"/>
    <n v="23.11"/>
    <n v="0.1"/>
    <n v="23.11"/>
    <n v="3.21"/>
  </r>
  <r>
    <s v="ORD-0250"/>
    <x v="191"/>
    <x v="0"/>
    <s v="Atlanta"/>
    <s v="Home Office"/>
    <x v="1"/>
    <x v="2"/>
    <n v="3"/>
    <n v="66.900000000000006"/>
    <n v="0"/>
    <n v="200.7"/>
    <n v="36.35"/>
  </r>
  <r>
    <s v="ORD-0251"/>
    <x v="15"/>
    <x v="1"/>
    <s v="Dallas"/>
    <s v="Corporate"/>
    <x v="1"/>
    <x v="2"/>
    <n v="5"/>
    <n v="400.54"/>
    <n v="0"/>
    <n v="2002.7"/>
    <n v="286.91000000000003"/>
  </r>
  <r>
    <s v="ORD-0252"/>
    <x v="52"/>
    <x v="3"/>
    <s v="Houston"/>
    <s v="Home Office"/>
    <x v="1"/>
    <x v="6"/>
    <n v="5"/>
    <n v="346.76"/>
    <n v="0"/>
    <n v="1733.8"/>
    <n v="370.05"/>
  </r>
  <r>
    <s v="ORD-0253"/>
    <x v="17"/>
    <x v="0"/>
    <s v="Atlanta"/>
    <s v="Corporate"/>
    <x v="0"/>
    <x v="5"/>
    <n v="8"/>
    <n v="42.22"/>
    <n v="0"/>
    <n v="337.76"/>
    <n v="76.239999999999995"/>
  </r>
  <r>
    <s v="ORD-0254"/>
    <x v="192"/>
    <x v="3"/>
    <s v="Los Angeles"/>
    <s v="Corporate"/>
    <x v="2"/>
    <x v="7"/>
    <n v="1"/>
    <n v="126.44"/>
    <n v="0.2"/>
    <n v="126.44"/>
    <n v="9.9700000000000006"/>
  </r>
  <r>
    <s v="ORD-0255"/>
    <x v="88"/>
    <x v="0"/>
    <s v="New York"/>
    <s v="Home Office"/>
    <x v="1"/>
    <x v="1"/>
    <n v="3"/>
    <n v="465.45"/>
    <n v="0.1"/>
    <n v="1396.35"/>
    <n v="12.45"/>
  </r>
  <r>
    <s v="ORD-0256"/>
    <x v="193"/>
    <x v="1"/>
    <s v="Seattle"/>
    <s v="Consumer"/>
    <x v="1"/>
    <x v="1"/>
    <n v="3"/>
    <n v="288.52"/>
    <n v="0.2"/>
    <n v="865.56"/>
    <n v="145.99"/>
  </r>
  <r>
    <s v="ORD-0257"/>
    <x v="194"/>
    <x v="2"/>
    <s v="Los Angeles"/>
    <s v="Consumer"/>
    <x v="2"/>
    <x v="7"/>
    <n v="6"/>
    <n v="41.04"/>
    <n v="0.15"/>
    <n v="246.24"/>
    <n v="9.98"/>
  </r>
  <r>
    <s v="ORD-0258"/>
    <x v="195"/>
    <x v="2"/>
    <s v="Atlanta"/>
    <s v="Home Office"/>
    <x v="1"/>
    <x v="2"/>
    <n v="6"/>
    <n v="29.37"/>
    <n v="0.1"/>
    <n v="176.22"/>
    <n v="35.4"/>
  </r>
  <r>
    <s v="ORD-0259"/>
    <x v="61"/>
    <x v="3"/>
    <s v="Atlanta"/>
    <s v="Home Office"/>
    <x v="0"/>
    <x v="5"/>
    <n v="7"/>
    <n v="105.08"/>
    <n v="0.2"/>
    <n v="735.56"/>
    <n v="92.07"/>
  </r>
  <r>
    <s v="ORD-0260"/>
    <x v="70"/>
    <x v="2"/>
    <s v="Los Angeles"/>
    <s v="Consumer"/>
    <x v="0"/>
    <x v="0"/>
    <n v="5"/>
    <n v="89.8"/>
    <n v="0.05"/>
    <n v="449"/>
    <n v="95.37"/>
  </r>
  <r>
    <s v="ORD-0261"/>
    <x v="196"/>
    <x v="2"/>
    <s v="Seattle"/>
    <s v="Consumer"/>
    <x v="0"/>
    <x v="4"/>
    <n v="8"/>
    <n v="189.56"/>
    <n v="0.1"/>
    <n v="1516.48"/>
    <n v="46.34"/>
  </r>
  <r>
    <s v="ORD-0262"/>
    <x v="197"/>
    <x v="1"/>
    <s v="Atlanta"/>
    <s v="Home Office"/>
    <x v="2"/>
    <x v="3"/>
    <n v="2"/>
    <n v="27.74"/>
    <n v="0.1"/>
    <n v="55.48"/>
    <n v="7.96"/>
  </r>
  <r>
    <s v="ORD-0263"/>
    <x v="106"/>
    <x v="2"/>
    <s v="Atlanta"/>
    <s v="Corporate"/>
    <x v="2"/>
    <x v="8"/>
    <n v="7"/>
    <n v="392.9"/>
    <n v="0.2"/>
    <n v="2750.3"/>
    <n v="512.39"/>
  </r>
  <r>
    <s v="ORD-0264"/>
    <x v="20"/>
    <x v="1"/>
    <s v="Chicago"/>
    <s v="Consumer"/>
    <x v="1"/>
    <x v="1"/>
    <n v="5"/>
    <n v="161.05000000000001"/>
    <n v="0.15"/>
    <n v="805.25"/>
    <n v="15.29"/>
  </r>
  <r>
    <s v="ORD-0265"/>
    <x v="56"/>
    <x v="3"/>
    <s v="Phoenix"/>
    <s v="Corporate"/>
    <x v="2"/>
    <x v="3"/>
    <n v="2"/>
    <n v="190.15"/>
    <n v="0.05"/>
    <n v="380.3"/>
    <n v="79"/>
  </r>
  <r>
    <s v="ORD-0266"/>
    <x v="198"/>
    <x v="1"/>
    <s v="Seattle"/>
    <s v="Consumer"/>
    <x v="2"/>
    <x v="8"/>
    <n v="1"/>
    <n v="475.18"/>
    <n v="0.1"/>
    <n v="475.18"/>
    <n v="102.36"/>
  </r>
  <r>
    <s v="ORD-0267"/>
    <x v="4"/>
    <x v="2"/>
    <s v="Chicago"/>
    <s v="Corporate"/>
    <x v="2"/>
    <x v="3"/>
    <n v="5"/>
    <n v="170.52"/>
    <n v="0.05"/>
    <n v="852.6"/>
    <n v="125.55"/>
  </r>
  <r>
    <s v="ORD-0268"/>
    <x v="35"/>
    <x v="3"/>
    <s v="Phoenix"/>
    <s v="Home Office"/>
    <x v="2"/>
    <x v="3"/>
    <n v="4"/>
    <n v="173.05"/>
    <n v="0.1"/>
    <n v="692.2"/>
    <n v="144.76"/>
  </r>
  <r>
    <s v="ORD-0269"/>
    <x v="156"/>
    <x v="2"/>
    <s v="Chicago"/>
    <s v="Consumer"/>
    <x v="0"/>
    <x v="0"/>
    <n v="1"/>
    <n v="477.21"/>
    <n v="0.15"/>
    <n v="477.21"/>
    <n v="104.15"/>
  </r>
  <r>
    <s v="ORD-0270"/>
    <x v="34"/>
    <x v="3"/>
    <s v="Atlanta"/>
    <s v="Consumer"/>
    <x v="2"/>
    <x v="7"/>
    <n v="8"/>
    <n v="82.5"/>
    <n v="0.1"/>
    <n v="660"/>
    <n v="43.23"/>
  </r>
  <r>
    <s v="ORD-0271"/>
    <x v="93"/>
    <x v="1"/>
    <s v="Los Angeles"/>
    <s v="Corporate"/>
    <x v="1"/>
    <x v="1"/>
    <n v="8"/>
    <n v="495.49"/>
    <n v="0.15"/>
    <n v="3963.92"/>
    <n v="507.62"/>
  </r>
  <r>
    <s v="ORD-0272"/>
    <x v="199"/>
    <x v="3"/>
    <s v="Los Angeles"/>
    <s v="Corporate"/>
    <x v="1"/>
    <x v="6"/>
    <n v="2"/>
    <n v="387.94"/>
    <n v="0.1"/>
    <n v="775.88"/>
    <n v="36.14"/>
  </r>
  <r>
    <s v="ORD-0273"/>
    <x v="163"/>
    <x v="0"/>
    <s v="Atlanta"/>
    <s v="Home Office"/>
    <x v="1"/>
    <x v="2"/>
    <n v="6"/>
    <n v="483.37"/>
    <n v="0.15"/>
    <n v="2900.22"/>
    <n v="26.06"/>
  </r>
  <r>
    <s v="ORD-0274"/>
    <x v="200"/>
    <x v="2"/>
    <s v="Houston"/>
    <s v="Home Office"/>
    <x v="0"/>
    <x v="0"/>
    <n v="8"/>
    <n v="196.45"/>
    <n v="0.15"/>
    <n v="1571.6"/>
    <n v="275.95"/>
  </r>
  <r>
    <s v="ORD-0275"/>
    <x v="67"/>
    <x v="1"/>
    <s v="Los Angeles"/>
    <s v="Corporate"/>
    <x v="2"/>
    <x v="8"/>
    <n v="5"/>
    <n v="216.75"/>
    <n v="0"/>
    <n v="1083.75"/>
    <n v="85.64"/>
  </r>
  <r>
    <s v="ORD-0276"/>
    <x v="201"/>
    <x v="2"/>
    <s v="Houston"/>
    <s v="Corporate"/>
    <x v="2"/>
    <x v="3"/>
    <n v="8"/>
    <n v="183.93"/>
    <n v="0"/>
    <n v="1471.44"/>
    <n v="234.76"/>
  </r>
  <r>
    <s v="ORD-0277"/>
    <x v="101"/>
    <x v="3"/>
    <s v="New York"/>
    <s v="Corporate"/>
    <x v="2"/>
    <x v="8"/>
    <n v="2"/>
    <n v="25.95"/>
    <n v="0.1"/>
    <n v="51.9"/>
    <n v="8.67"/>
  </r>
  <r>
    <s v="ORD-0278"/>
    <x v="202"/>
    <x v="1"/>
    <s v="Chicago"/>
    <s v="Home Office"/>
    <x v="1"/>
    <x v="6"/>
    <n v="3"/>
    <n v="175.53"/>
    <n v="0.15"/>
    <n v="526.59"/>
    <n v="116.96"/>
  </r>
  <r>
    <s v="ORD-0279"/>
    <x v="203"/>
    <x v="3"/>
    <s v="Atlanta"/>
    <s v="Consumer"/>
    <x v="1"/>
    <x v="6"/>
    <n v="7"/>
    <n v="29.16"/>
    <n v="0.2"/>
    <n v="204.12"/>
    <n v="36.9"/>
  </r>
  <r>
    <s v="ORD-0280"/>
    <x v="61"/>
    <x v="3"/>
    <s v="Houston"/>
    <s v="Home Office"/>
    <x v="2"/>
    <x v="8"/>
    <n v="4"/>
    <n v="150"/>
    <n v="0"/>
    <n v="600"/>
    <n v="116.6"/>
  </r>
  <r>
    <s v="ORD-0281"/>
    <x v="204"/>
    <x v="1"/>
    <s v="Phoenix"/>
    <s v="Consumer"/>
    <x v="2"/>
    <x v="3"/>
    <n v="2"/>
    <n v="142.24"/>
    <n v="0.15"/>
    <n v="284.48"/>
    <n v="32.549999999999997"/>
  </r>
  <r>
    <s v="ORD-0282"/>
    <x v="0"/>
    <x v="2"/>
    <s v="Atlanta"/>
    <s v="Home Office"/>
    <x v="1"/>
    <x v="1"/>
    <n v="2"/>
    <n v="183.74"/>
    <n v="0.15"/>
    <n v="367.48"/>
    <n v="50.29"/>
  </r>
  <r>
    <s v="ORD-0283"/>
    <x v="161"/>
    <x v="2"/>
    <s v="Chicago"/>
    <s v="Consumer"/>
    <x v="1"/>
    <x v="2"/>
    <n v="6"/>
    <n v="72.16"/>
    <n v="0.1"/>
    <n v="432.96"/>
    <n v="14.82"/>
  </r>
  <r>
    <s v="ORD-0284"/>
    <x v="205"/>
    <x v="1"/>
    <s v="Chicago"/>
    <s v="Corporate"/>
    <x v="1"/>
    <x v="1"/>
    <n v="7"/>
    <n v="220.17"/>
    <n v="0.15"/>
    <n v="1541.19"/>
    <n v="217.89"/>
  </r>
  <r>
    <s v="ORD-0285"/>
    <x v="206"/>
    <x v="1"/>
    <s v="Seattle"/>
    <s v="Corporate"/>
    <x v="1"/>
    <x v="6"/>
    <n v="3"/>
    <n v="105.74"/>
    <n v="0.15"/>
    <n v="317.22000000000003"/>
    <n v="43.57"/>
  </r>
  <r>
    <s v="ORD-0286"/>
    <x v="107"/>
    <x v="0"/>
    <s v="Atlanta"/>
    <s v="Consumer"/>
    <x v="2"/>
    <x v="8"/>
    <n v="8"/>
    <n v="213.43"/>
    <n v="0.15"/>
    <n v="1707.44"/>
    <n v="147.54"/>
  </r>
  <r>
    <s v="ORD-0287"/>
    <x v="145"/>
    <x v="3"/>
    <s v="New York"/>
    <s v="Home Office"/>
    <x v="0"/>
    <x v="4"/>
    <n v="4"/>
    <n v="156.66"/>
    <n v="0.1"/>
    <n v="626.64"/>
    <n v="38.36"/>
  </r>
  <r>
    <s v="ORD-0288"/>
    <x v="87"/>
    <x v="1"/>
    <s v="Phoenix"/>
    <s v="Home Office"/>
    <x v="2"/>
    <x v="7"/>
    <n v="2"/>
    <n v="292.77"/>
    <n v="0.1"/>
    <n v="585.54"/>
    <n v="116.39"/>
  </r>
  <r>
    <s v="ORD-0289"/>
    <x v="207"/>
    <x v="0"/>
    <s v="Houston"/>
    <s v="Home Office"/>
    <x v="1"/>
    <x v="1"/>
    <n v="7"/>
    <n v="64.67"/>
    <n v="0.05"/>
    <n v="452.69"/>
    <n v="46.14"/>
  </r>
  <r>
    <s v="ORD-0290"/>
    <x v="8"/>
    <x v="3"/>
    <s v="Phoenix"/>
    <s v="Consumer"/>
    <x v="2"/>
    <x v="3"/>
    <n v="2"/>
    <n v="391.18"/>
    <n v="0.05"/>
    <n v="782.36"/>
    <n v="62.56"/>
  </r>
  <r>
    <s v="ORD-0291"/>
    <x v="67"/>
    <x v="2"/>
    <s v="Atlanta"/>
    <s v="Home Office"/>
    <x v="1"/>
    <x v="2"/>
    <n v="3"/>
    <n v="313.83"/>
    <n v="0.05"/>
    <n v="941.49"/>
    <n v="217.37"/>
  </r>
  <r>
    <s v="ORD-0292"/>
    <x v="208"/>
    <x v="2"/>
    <s v="Chicago"/>
    <s v="Home Office"/>
    <x v="1"/>
    <x v="1"/>
    <n v="6"/>
    <n v="489.82"/>
    <n v="0.1"/>
    <n v="2938.92"/>
    <n v="227.28"/>
  </r>
  <r>
    <s v="ORD-0293"/>
    <x v="170"/>
    <x v="0"/>
    <s v="Seattle"/>
    <s v="Consumer"/>
    <x v="0"/>
    <x v="5"/>
    <n v="3"/>
    <n v="355.19"/>
    <n v="0.05"/>
    <n v="1065.57"/>
    <n v="95.82"/>
  </r>
  <r>
    <s v="ORD-0294"/>
    <x v="134"/>
    <x v="2"/>
    <s v="Phoenix"/>
    <s v="Corporate"/>
    <x v="0"/>
    <x v="0"/>
    <n v="3"/>
    <n v="295.05"/>
    <n v="0.1"/>
    <n v="885.15"/>
    <n v="143.35"/>
  </r>
  <r>
    <s v="ORD-0295"/>
    <x v="209"/>
    <x v="3"/>
    <s v="Atlanta"/>
    <s v="Consumer"/>
    <x v="0"/>
    <x v="0"/>
    <n v="5"/>
    <n v="351.93"/>
    <n v="0.1"/>
    <n v="1759.65"/>
    <n v="208.82"/>
  </r>
  <r>
    <s v="ORD-0296"/>
    <x v="24"/>
    <x v="2"/>
    <s v="Los Angeles"/>
    <s v="Home Office"/>
    <x v="1"/>
    <x v="6"/>
    <n v="8"/>
    <n v="322.89999999999998"/>
    <n v="0.1"/>
    <n v="2583.1999999999998"/>
    <n v="561.91"/>
  </r>
  <r>
    <s v="ORD-0297"/>
    <x v="199"/>
    <x v="3"/>
    <s v="Phoenix"/>
    <s v="Consumer"/>
    <x v="0"/>
    <x v="5"/>
    <n v="5"/>
    <n v="171.59"/>
    <n v="0.1"/>
    <n v="857.95"/>
    <n v="76.73"/>
  </r>
  <r>
    <s v="ORD-0298"/>
    <x v="40"/>
    <x v="1"/>
    <s v="New York"/>
    <s v="Corporate"/>
    <x v="1"/>
    <x v="1"/>
    <n v="1"/>
    <n v="63.29"/>
    <n v="0.15"/>
    <n v="63.29"/>
    <n v="-0.85"/>
  </r>
  <r>
    <s v="ORD-0299"/>
    <x v="146"/>
    <x v="3"/>
    <s v="Houston"/>
    <s v="Corporate"/>
    <x v="2"/>
    <x v="8"/>
    <n v="3"/>
    <n v="442.84"/>
    <n v="0.1"/>
    <n v="1328.52"/>
    <n v="59.44"/>
  </r>
  <r>
    <s v="ORD-0300"/>
    <x v="165"/>
    <x v="0"/>
    <s v="Los Angeles"/>
    <s v="Corporate"/>
    <x v="1"/>
    <x v="1"/>
    <n v="6"/>
    <n v="337.29"/>
    <n v="0.05"/>
    <n v="2023.74"/>
    <n v="81.849999999999994"/>
  </r>
  <r>
    <s v="ORD-0301"/>
    <x v="72"/>
    <x v="2"/>
    <s v="Atlanta"/>
    <s v="Consumer"/>
    <x v="1"/>
    <x v="2"/>
    <n v="2"/>
    <n v="356.29"/>
    <n v="0"/>
    <n v="712.58"/>
    <n v="73.650000000000006"/>
  </r>
  <r>
    <s v="ORD-0302"/>
    <x v="210"/>
    <x v="1"/>
    <s v="Phoenix"/>
    <s v="Home Office"/>
    <x v="1"/>
    <x v="6"/>
    <n v="1"/>
    <n v="18.91"/>
    <n v="0.1"/>
    <n v="18.91"/>
    <n v="3.96"/>
  </r>
  <r>
    <s v="ORD-0303"/>
    <x v="211"/>
    <x v="1"/>
    <s v="Atlanta"/>
    <s v="Consumer"/>
    <x v="2"/>
    <x v="8"/>
    <n v="2"/>
    <n v="369.42"/>
    <n v="0"/>
    <n v="738.84"/>
    <n v="56"/>
  </r>
  <r>
    <s v="ORD-0304"/>
    <x v="124"/>
    <x v="2"/>
    <s v="Chicago"/>
    <s v="Consumer"/>
    <x v="0"/>
    <x v="5"/>
    <n v="2"/>
    <n v="272.3"/>
    <n v="0"/>
    <n v="544.6"/>
    <n v="110.32"/>
  </r>
  <r>
    <s v="ORD-0305"/>
    <x v="16"/>
    <x v="3"/>
    <s v="Chicago"/>
    <s v="Consumer"/>
    <x v="2"/>
    <x v="7"/>
    <n v="7"/>
    <n v="313.8"/>
    <n v="0.15"/>
    <n v="2196.6"/>
    <n v="433.81"/>
  </r>
  <r>
    <s v="ORD-0306"/>
    <x v="197"/>
    <x v="0"/>
    <s v="Atlanta"/>
    <s v="Home Office"/>
    <x v="0"/>
    <x v="4"/>
    <n v="6"/>
    <n v="482.18"/>
    <n v="0.1"/>
    <n v="2893.08"/>
    <n v="586.63"/>
  </r>
  <r>
    <s v="ORD-0307"/>
    <x v="155"/>
    <x v="2"/>
    <s v="Seattle"/>
    <s v="Consumer"/>
    <x v="1"/>
    <x v="6"/>
    <n v="1"/>
    <n v="426.23"/>
    <n v="0.1"/>
    <n v="426.23"/>
    <n v="24.02"/>
  </r>
  <r>
    <s v="ORD-0308"/>
    <x v="212"/>
    <x v="1"/>
    <s v="New York"/>
    <s v="Corporate"/>
    <x v="1"/>
    <x v="1"/>
    <n v="4"/>
    <n v="255.02"/>
    <n v="0"/>
    <n v="1020.08"/>
    <n v="112.48"/>
  </r>
  <r>
    <s v="ORD-0309"/>
    <x v="98"/>
    <x v="0"/>
    <s v="Dallas"/>
    <s v="Corporate"/>
    <x v="1"/>
    <x v="6"/>
    <n v="3"/>
    <n v="202.62"/>
    <n v="0.2"/>
    <n v="607.86"/>
    <n v="39.64"/>
  </r>
  <r>
    <s v="ORD-0310"/>
    <x v="1"/>
    <x v="1"/>
    <s v="Los Angeles"/>
    <s v="Consumer"/>
    <x v="2"/>
    <x v="8"/>
    <n v="1"/>
    <n v="142.16"/>
    <n v="0"/>
    <n v="142.16"/>
    <n v="39.9"/>
  </r>
  <r>
    <s v="ORD-0311"/>
    <x v="148"/>
    <x v="2"/>
    <s v="Atlanta"/>
    <s v="Home Office"/>
    <x v="1"/>
    <x v="2"/>
    <n v="7"/>
    <n v="355.38"/>
    <n v="0"/>
    <n v="2487.66"/>
    <n v="522.74"/>
  </r>
  <r>
    <s v="ORD-0312"/>
    <x v="171"/>
    <x v="1"/>
    <s v="Los Angeles"/>
    <s v="Corporate"/>
    <x v="2"/>
    <x v="8"/>
    <n v="4"/>
    <n v="487.54"/>
    <n v="0.05"/>
    <n v="1950.16"/>
    <n v="315.14"/>
  </r>
  <r>
    <s v="ORD-0313"/>
    <x v="213"/>
    <x v="0"/>
    <s v="Houston"/>
    <s v="Corporate"/>
    <x v="2"/>
    <x v="7"/>
    <n v="1"/>
    <n v="133.57"/>
    <n v="0.15"/>
    <n v="133.57"/>
    <n v="1.54"/>
  </r>
  <r>
    <s v="ORD-0314"/>
    <x v="163"/>
    <x v="0"/>
    <s v="Chicago"/>
    <s v="Home Office"/>
    <x v="2"/>
    <x v="7"/>
    <n v="2"/>
    <n v="21.14"/>
    <n v="0.05"/>
    <n v="42.28"/>
    <n v="8.58"/>
  </r>
  <r>
    <s v="ORD-0315"/>
    <x v="214"/>
    <x v="3"/>
    <s v="Seattle"/>
    <s v="Home Office"/>
    <x v="2"/>
    <x v="7"/>
    <n v="3"/>
    <n v="195.36"/>
    <n v="0.1"/>
    <n v="586.08000000000004"/>
    <n v="110.32"/>
  </r>
  <r>
    <s v="ORD-0316"/>
    <x v="79"/>
    <x v="0"/>
    <s v="Los Angeles"/>
    <s v="Corporate"/>
    <x v="2"/>
    <x v="3"/>
    <n v="5"/>
    <n v="360.48"/>
    <n v="0.2"/>
    <n v="1802.4"/>
    <n v="210.67"/>
  </r>
  <r>
    <s v="ORD-0317"/>
    <x v="215"/>
    <x v="3"/>
    <s v="Phoenix"/>
    <s v="Consumer"/>
    <x v="1"/>
    <x v="1"/>
    <n v="3"/>
    <n v="193.33"/>
    <n v="0.1"/>
    <n v="579.99"/>
    <n v="115.03"/>
  </r>
  <r>
    <s v="ORD-0318"/>
    <x v="216"/>
    <x v="0"/>
    <s v="New York"/>
    <s v="Home Office"/>
    <x v="0"/>
    <x v="0"/>
    <n v="1"/>
    <n v="431.46"/>
    <n v="0"/>
    <n v="431.46"/>
    <n v="47.95"/>
  </r>
  <r>
    <s v="ORD-0319"/>
    <x v="136"/>
    <x v="2"/>
    <s v="New York"/>
    <s v="Consumer"/>
    <x v="2"/>
    <x v="8"/>
    <n v="7"/>
    <n v="123.89"/>
    <n v="0.05"/>
    <n v="867.23"/>
    <n v="114.1"/>
  </r>
  <r>
    <s v="ORD-0320"/>
    <x v="49"/>
    <x v="2"/>
    <s v="Los Angeles"/>
    <s v="Corporate"/>
    <x v="0"/>
    <x v="0"/>
    <n v="1"/>
    <n v="101.98"/>
    <n v="0.2"/>
    <n v="101.98"/>
    <n v="20.94"/>
  </r>
  <r>
    <s v="ORD-0321"/>
    <x v="76"/>
    <x v="0"/>
    <s v="Dallas"/>
    <s v="Corporate"/>
    <x v="2"/>
    <x v="3"/>
    <n v="2"/>
    <n v="283.25"/>
    <n v="0"/>
    <n v="566.5"/>
    <n v="80.569999999999993"/>
  </r>
  <r>
    <s v="ORD-0322"/>
    <x v="217"/>
    <x v="2"/>
    <s v="Phoenix"/>
    <s v="Consumer"/>
    <x v="1"/>
    <x v="2"/>
    <n v="6"/>
    <n v="301.97000000000003"/>
    <n v="0.15"/>
    <n v="1811.82"/>
    <n v="420.25"/>
  </r>
  <r>
    <s v="ORD-0323"/>
    <x v="218"/>
    <x v="1"/>
    <s v="New York"/>
    <s v="Corporate"/>
    <x v="0"/>
    <x v="4"/>
    <n v="4"/>
    <n v="277.64999999999998"/>
    <n v="0"/>
    <n v="1110.5999999999999"/>
    <n v="319.57"/>
  </r>
  <r>
    <s v="ORD-0324"/>
    <x v="77"/>
    <x v="3"/>
    <s v="Los Angeles"/>
    <s v="Corporate"/>
    <x v="1"/>
    <x v="2"/>
    <n v="4"/>
    <n v="271.95999999999998"/>
    <n v="0.05"/>
    <n v="1087.8399999999999"/>
    <n v="144.09"/>
  </r>
  <r>
    <s v="ORD-0325"/>
    <x v="208"/>
    <x v="1"/>
    <s v="New York"/>
    <s v="Consumer"/>
    <x v="1"/>
    <x v="1"/>
    <n v="4"/>
    <n v="450.18"/>
    <n v="0.2"/>
    <n v="1800.72"/>
    <n v="113.92"/>
  </r>
  <r>
    <s v="ORD-0326"/>
    <x v="126"/>
    <x v="3"/>
    <s v="Los Angeles"/>
    <s v="Home Office"/>
    <x v="1"/>
    <x v="6"/>
    <n v="3"/>
    <n v="324.05"/>
    <n v="0.15"/>
    <n v="972.15"/>
    <n v="1.17"/>
  </r>
  <r>
    <s v="ORD-0327"/>
    <x v="115"/>
    <x v="0"/>
    <s v="Houston"/>
    <s v="Consumer"/>
    <x v="2"/>
    <x v="7"/>
    <n v="5"/>
    <n v="141.58000000000001"/>
    <n v="0.1"/>
    <n v="707.9"/>
    <n v="167.43"/>
  </r>
  <r>
    <s v="ORD-0328"/>
    <x v="156"/>
    <x v="2"/>
    <s v="Houston"/>
    <s v="Corporate"/>
    <x v="2"/>
    <x v="3"/>
    <n v="2"/>
    <n v="472.62"/>
    <n v="0.05"/>
    <n v="945.24"/>
    <n v="210.3"/>
  </r>
  <r>
    <s v="ORD-0329"/>
    <x v="219"/>
    <x v="0"/>
    <s v="Phoenix"/>
    <s v="Consumer"/>
    <x v="0"/>
    <x v="4"/>
    <n v="8"/>
    <n v="167.31"/>
    <n v="0"/>
    <n v="1338.48"/>
    <n v="246.26"/>
  </r>
  <r>
    <s v="ORD-0330"/>
    <x v="193"/>
    <x v="3"/>
    <s v="Los Angeles"/>
    <s v="Corporate"/>
    <x v="2"/>
    <x v="3"/>
    <n v="2"/>
    <n v="91.44"/>
    <n v="0.1"/>
    <n v="182.88"/>
    <n v="38.700000000000003"/>
  </r>
  <r>
    <s v="ORD-0331"/>
    <x v="101"/>
    <x v="0"/>
    <s v="Los Angeles"/>
    <s v="Consumer"/>
    <x v="0"/>
    <x v="5"/>
    <n v="4"/>
    <n v="484.67"/>
    <n v="0.15"/>
    <n v="1938.68"/>
    <n v="214.93"/>
  </r>
  <r>
    <s v="ORD-0332"/>
    <x v="202"/>
    <x v="2"/>
    <s v="Atlanta"/>
    <s v="Consumer"/>
    <x v="2"/>
    <x v="8"/>
    <n v="8"/>
    <n v="284.64"/>
    <n v="0.2"/>
    <n v="2277.12"/>
    <n v="51.15"/>
  </r>
  <r>
    <s v="ORD-0333"/>
    <x v="90"/>
    <x v="0"/>
    <s v="New York"/>
    <s v="Consumer"/>
    <x v="0"/>
    <x v="4"/>
    <n v="4"/>
    <n v="78.400000000000006"/>
    <n v="0.15"/>
    <n v="313.60000000000002"/>
    <n v="23.7"/>
  </r>
  <r>
    <s v="ORD-0334"/>
    <x v="220"/>
    <x v="0"/>
    <s v="Los Angeles"/>
    <s v="Corporate"/>
    <x v="1"/>
    <x v="2"/>
    <n v="1"/>
    <n v="498.62"/>
    <n v="0.05"/>
    <n v="498.62"/>
    <n v="126.21"/>
  </r>
  <r>
    <s v="ORD-0335"/>
    <x v="145"/>
    <x v="1"/>
    <s v="New York"/>
    <s v="Consumer"/>
    <x v="0"/>
    <x v="5"/>
    <n v="8"/>
    <n v="39.56"/>
    <n v="0.2"/>
    <n v="316.48"/>
    <n v="21.61"/>
  </r>
  <r>
    <s v="ORD-0336"/>
    <x v="221"/>
    <x v="3"/>
    <s v="Atlanta"/>
    <s v="Home Office"/>
    <x v="0"/>
    <x v="5"/>
    <n v="3"/>
    <n v="186.66"/>
    <n v="0.05"/>
    <n v="559.98"/>
    <n v="53.9"/>
  </r>
  <r>
    <s v="ORD-0337"/>
    <x v="222"/>
    <x v="1"/>
    <s v="Houston"/>
    <s v="Home Office"/>
    <x v="0"/>
    <x v="0"/>
    <n v="5"/>
    <n v="256.95999999999998"/>
    <n v="0.2"/>
    <n v="1284.8"/>
    <n v="102.47"/>
  </r>
  <r>
    <s v="ORD-0338"/>
    <x v="197"/>
    <x v="2"/>
    <s v="Houston"/>
    <s v="Corporate"/>
    <x v="2"/>
    <x v="8"/>
    <n v="4"/>
    <n v="320.92"/>
    <n v="0.2"/>
    <n v="1283.68"/>
    <n v="203.73"/>
  </r>
  <r>
    <s v="ORD-0339"/>
    <x v="175"/>
    <x v="2"/>
    <s v="Dallas"/>
    <s v="Corporate"/>
    <x v="2"/>
    <x v="7"/>
    <n v="6"/>
    <n v="203.36"/>
    <n v="0.05"/>
    <n v="1220.1600000000001"/>
    <n v="41.5"/>
  </r>
  <r>
    <s v="ORD-0340"/>
    <x v="106"/>
    <x v="1"/>
    <s v="Phoenix"/>
    <s v="Consumer"/>
    <x v="0"/>
    <x v="5"/>
    <n v="6"/>
    <n v="386.92"/>
    <n v="0.05"/>
    <n v="2321.52"/>
    <n v="629.12"/>
  </r>
  <r>
    <s v="ORD-0341"/>
    <x v="223"/>
    <x v="1"/>
    <s v="New York"/>
    <s v="Corporate"/>
    <x v="1"/>
    <x v="6"/>
    <n v="4"/>
    <n v="294.20999999999998"/>
    <n v="0.15"/>
    <n v="1176.8399999999999"/>
    <n v="83.79"/>
  </r>
  <r>
    <s v="ORD-0342"/>
    <x v="224"/>
    <x v="1"/>
    <s v="Dallas"/>
    <s v="Corporate"/>
    <x v="0"/>
    <x v="0"/>
    <n v="1"/>
    <n v="356.17"/>
    <n v="0.1"/>
    <n v="356.17"/>
    <n v="86.15"/>
  </r>
  <r>
    <s v="ORD-0343"/>
    <x v="122"/>
    <x v="1"/>
    <s v="Seattle"/>
    <s v="Corporate"/>
    <x v="1"/>
    <x v="6"/>
    <n v="3"/>
    <n v="252.86"/>
    <n v="0"/>
    <n v="758.58"/>
    <n v="48.58"/>
  </r>
  <r>
    <s v="ORD-0344"/>
    <x v="225"/>
    <x v="1"/>
    <s v="New York"/>
    <s v="Corporate"/>
    <x v="0"/>
    <x v="0"/>
    <n v="6"/>
    <n v="460.18"/>
    <n v="0.05"/>
    <n v="2761.08"/>
    <n v="632.59"/>
  </r>
  <r>
    <s v="ORD-0345"/>
    <x v="129"/>
    <x v="1"/>
    <s v="Chicago"/>
    <s v="Consumer"/>
    <x v="2"/>
    <x v="8"/>
    <n v="3"/>
    <n v="390.57"/>
    <n v="0.2"/>
    <n v="1171.71"/>
    <n v="205.25"/>
  </r>
  <r>
    <s v="ORD-0346"/>
    <x v="28"/>
    <x v="2"/>
    <s v="Los Angeles"/>
    <s v="Corporate"/>
    <x v="1"/>
    <x v="2"/>
    <n v="6"/>
    <n v="161.36000000000001"/>
    <n v="0.05"/>
    <n v="968.16"/>
    <n v="262.82"/>
  </r>
  <r>
    <s v="ORD-0347"/>
    <x v="226"/>
    <x v="3"/>
    <s v="Dallas"/>
    <s v="Consumer"/>
    <x v="1"/>
    <x v="1"/>
    <n v="4"/>
    <n v="337.78"/>
    <n v="0.05"/>
    <n v="1351.12"/>
    <n v="164.97"/>
  </r>
  <r>
    <s v="ORD-0348"/>
    <x v="227"/>
    <x v="2"/>
    <s v="New York"/>
    <s v="Home Office"/>
    <x v="0"/>
    <x v="4"/>
    <n v="7"/>
    <n v="427.62"/>
    <n v="0.2"/>
    <n v="2993.34"/>
    <n v="-95.5"/>
  </r>
  <r>
    <s v="ORD-0349"/>
    <x v="225"/>
    <x v="2"/>
    <s v="Los Angeles"/>
    <s v="Home Office"/>
    <x v="1"/>
    <x v="6"/>
    <n v="8"/>
    <n v="83.21"/>
    <n v="0"/>
    <n v="665.68"/>
    <n v="72.89"/>
  </r>
  <r>
    <s v="ORD-0350"/>
    <x v="49"/>
    <x v="1"/>
    <s v="Dallas"/>
    <s v="Home Office"/>
    <x v="1"/>
    <x v="6"/>
    <n v="8"/>
    <n v="20.53"/>
    <n v="0.05"/>
    <n v="164.24"/>
    <n v="14.76"/>
  </r>
  <r>
    <s v="ORD-0351"/>
    <x v="139"/>
    <x v="2"/>
    <s v="New York"/>
    <s v="Home Office"/>
    <x v="2"/>
    <x v="8"/>
    <n v="1"/>
    <n v="202.18"/>
    <n v="0.15"/>
    <n v="202.18"/>
    <n v="45.45"/>
  </r>
  <r>
    <s v="ORD-0352"/>
    <x v="228"/>
    <x v="3"/>
    <s v="Atlanta"/>
    <s v="Home Office"/>
    <x v="2"/>
    <x v="3"/>
    <n v="2"/>
    <n v="416.97"/>
    <n v="0.2"/>
    <n v="833.94"/>
    <n v="102.36"/>
  </r>
  <r>
    <s v="ORD-0353"/>
    <x v="103"/>
    <x v="1"/>
    <s v="New York"/>
    <s v="Consumer"/>
    <x v="0"/>
    <x v="5"/>
    <n v="5"/>
    <n v="24.74"/>
    <n v="0.1"/>
    <n v="123.7"/>
    <n v="30.05"/>
  </r>
  <r>
    <s v="ORD-0354"/>
    <x v="28"/>
    <x v="2"/>
    <s v="Los Angeles"/>
    <s v="Consumer"/>
    <x v="0"/>
    <x v="5"/>
    <n v="2"/>
    <n v="178.91"/>
    <n v="0.2"/>
    <n v="357.82"/>
    <n v="65.59"/>
  </r>
  <r>
    <s v="ORD-0355"/>
    <x v="229"/>
    <x v="0"/>
    <s v="Atlanta"/>
    <s v="Consumer"/>
    <x v="2"/>
    <x v="7"/>
    <n v="3"/>
    <n v="40.97"/>
    <n v="0.1"/>
    <n v="122.91"/>
    <n v="6.93"/>
  </r>
  <r>
    <s v="ORD-0356"/>
    <x v="230"/>
    <x v="3"/>
    <s v="Seattle"/>
    <s v="Home Office"/>
    <x v="1"/>
    <x v="2"/>
    <n v="5"/>
    <n v="159.24"/>
    <n v="0"/>
    <n v="796.2"/>
    <n v="49.69"/>
  </r>
  <r>
    <s v="ORD-0357"/>
    <x v="125"/>
    <x v="3"/>
    <s v="New York"/>
    <s v="Corporate"/>
    <x v="0"/>
    <x v="4"/>
    <n v="7"/>
    <n v="57.5"/>
    <n v="0.2"/>
    <n v="402.5"/>
    <n v="32.229999999999997"/>
  </r>
  <r>
    <s v="ORD-0358"/>
    <x v="231"/>
    <x v="0"/>
    <s v="Seattle"/>
    <s v="Home Office"/>
    <x v="0"/>
    <x v="4"/>
    <n v="2"/>
    <n v="244.68"/>
    <n v="0"/>
    <n v="489.36"/>
    <n v="62.19"/>
  </r>
  <r>
    <s v="ORD-0359"/>
    <x v="148"/>
    <x v="3"/>
    <s v="Los Angeles"/>
    <s v="Corporate"/>
    <x v="2"/>
    <x v="7"/>
    <n v="7"/>
    <n v="104.67"/>
    <n v="0.15"/>
    <n v="732.69"/>
    <n v="54.84"/>
  </r>
  <r>
    <s v="ORD-0360"/>
    <x v="222"/>
    <x v="0"/>
    <s v="Seattle"/>
    <s v="Corporate"/>
    <x v="2"/>
    <x v="3"/>
    <n v="4"/>
    <n v="420.98"/>
    <n v="0.2"/>
    <n v="1683.92"/>
    <n v="-41.41"/>
  </r>
  <r>
    <s v="ORD-0361"/>
    <x v="101"/>
    <x v="0"/>
    <s v="Atlanta"/>
    <s v="Corporate"/>
    <x v="0"/>
    <x v="0"/>
    <n v="4"/>
    <n v="283.5"/>
    <n v="0.15"/>
    <n v="1134"/>
    <n v="212.17"/>
  </r>
  <r>
    <s v="ORD-0362"/>
    <x v="232"/>
    <x v="3"/>
    <s v="Seattle"/>
    <s v="Corporate"/>
    <x v="1"/>
    <x v="6"/>
    <n v="2"/>
    <n v="206.48"/>
    <n v="0"/>
    <n v="412.96"/>
    <n v="72.48"/>
  </r>
  <r>
    <s v="ORD-0363"/>
    <x v="233"/>
    <x v="1"/>
    <s v="Chicago"/>
    <s v="Consumer"/>
    <x v="0"/>
    <x v="5"/>
    <n v="4"/>
    <n v="407.1"/>
    <n v="0.05"/>
    <n v="1628.4"/>
    <n v="62.15"/>
  </r>
  <r>
    <s v="ORD-0364"/>
    <x v="151"/>
    <x v="3"/>
    <s v="Seattle"/>
    <s v="Consumer"/>
    <x v="0"/>
    <x v="0"/>
    <n v="6"/>
    <n v="456.74"/>
    <n v="0"/>
    <n v="2740.44"/>
    <n v="196.65"/>
  </r>
  <r>
    <s v="ORD-0365"/>
    <x v="112"/>
    <x v="3"/>
    <s v="Phoenix"/>
    <s v="Corporate"/>
    <x v="1"/>
    <x v="1"/>
    <n v="1"/>
    <n v="396.48"/>
    <n v="0.2"/>
    <n v="396.48"/>
    <n v="42.38"/>
  </r>
  <r>
    <s v="ORD-0366"/>
    <x v="232"/>
    <x v="0"/>
    <s v="Los Angeles"/>
    <s v="Consumer"/>
    <x v="2"/>
    <x v="8"/>
    <n v="2"/>
    <n v="287.89999999999998"/>
    <n v="0"/>
    <n v="575.79999999999995"/>
    <n v="141.9"/>
  </r>
  <r>
    <s v="ORD-0367"/>
    <x v="204"/>
    <x v="2"/>
    <s v="Phoenix"/>
    <s v="Corporate"/>
    <x v="2"/>
    <x v="3"/>
    <n v="8"/>
    <n v="33.17"/>
    <n v="0.1"/>
    <n v="265.36"/>
    <n v="28.06"/>
  </r>
  <r>
    <s v="ORD-0368"/>
    <x v="234"/>
    <x v="3"/>
    <s v="Houston"/>
    <s v="Corporate"/>
    <x v="0"/>
    <x v="5"/>
    <n v="1"/>
    <n v="376.69"/>
    <n v="0.1"/>
    <n v="376.69"/>
    <n v="86.36"/>
  </r>
  <r>
    <s v="ORD-0369"/>
    <x v="51"/>
    <x v="2"/>
    <s v="Phoenix"/>
    <s v="Corporate"/>
    <x v="2"/>
    <x v="3"/>
    <n v="2"/>
    <n v="486.66"/>
    <n v="0.05"/>
    <n v="973.32"/>
    <n v="59.47"/>
  </r>
  <r>
    <s v="ORD-0370"/>
    <x v="91"/>
    <x v="2"/>
    <s v="Los Angeles"/>
    <s v="Corporate"/>
    <x v="2"/>
    <x v="7"/>
    <n v="4"/>
    <n v="229.23"/>
    <n v="0.15"/>
    <n v="916.92"/>
    <n v="153.80000000000001"/>
  </r>
  <r>
    <s v="ORD-0371"/>
    <x v="233"/>
    <x v="2"/>
    <s v="Los Angeles"/>
    <s v="Consumer"/>
    <x v="0"/>
    <x v="0"/>
    <n v="5"/>
    <n v="359.14"/>
    <n v="0.15"/>
    <n v="1795.7"/>
    <n v="29.47"/>
  </r>
  <r>
    <s v="ORD-0372"/>
    <x v="235"/>
    <x v="0"/>
    <s v="New York"/>
    <s v="Consumer"/>
    <x v="0"/>
    <x v="4"/>
    <n v="4"/>
    <n v="31.04"/>
    <n v="0"/>
    <n v="124.16"/>
    <n v="34.700000000000003"/>
  </r>
  <r>
    <s v="ORD-0373"/>
    <x v="229"/>
    <x v="1"/>
    <s v="Atlanta"/>
    <s v="Corporate"/>
    <x v="2"/>
    <x v="3"/>
    <n v="2"/>
    <n v="345.37"/>
    <n v="0.05"/>
    <n v="690.74"/>
    <n v="83.31"/>
  </r>
  <r>
    <s v="ORD-0374"/>
    <x v="236"/>
    <x v="3"/>
    <s v="Dallas"/>
    <s v="Home Office"/>
    <x v="0"/>
    <x v="5"/>
    <n v="6"/>
    <n v="94.3"/>
    <n v="0.1"/>
    <n v="565.79999999999995"/>
    <n v="108.77"/>
  </r>
  <r>
    <s v="ORD-0375"/>
    <x v="227"/>
    <x v="0"/>
    <s v="New York"/>
    <s v="Corporate"/>
    <x v="2"/>
    <x v="8"/>
    <n v="3"/>
    <n v="429.1"/>
    <n v="0.05"/>
    <n v="1287.3"/>
    <n v="311.24"/>
  </r>
  <r>
    <s v="ORD-0376"/>
    <x v="237"/>
    <x v="1"/>
    <s v="Atlanta"/>
    <s v="Corporate"/>
    <x v="1"/>
    <x v="6"/>
    <n v="1"/>
    <n v="434.35"/>
    <n v="0"/>
    <n v="434.35"/>
    <n v="73.2"/>
  </r>
  <r>
    <s v="ORD-0377"/>
    <x v="238"/>
    <x v="1"/>
    <s v="Seattle"/>
    <s v="Consumer"/>
    <x v="1"/>
    <x v="6"/>
    <n v="5"/>
    <n v="360.68"/>
    <n v="0.1"/>
    <n v="1803.4"/>
    <n v="200.09"/>
  </r>
  <r>
    <s v="ORD-0378"/>
    <x v="209"/>
    <x v="2"/>
    <s v="Phoenix"/>
    <s v="Consumer"/>
    <x v="2"/>
    <x v="3"/>
    <n v="5"/>
    <n v="343.44"/>
    <n v="0.2"/>
    <n v="1717.2"/>
    <n v="101.81"/>
  </r>
  <r>
    <s v="ORD-0379"/>
    <x v="239"/>
    <x v="0"/>
    <s v="Seattle"/>
    <s v="Corporate"/>
    <x v="1"/>
    <x v="2"/>
    <n v="5"/>
    <n v="346.94"/>
    <n v="0.15"/>
    <n v="1734.7"/>
    <n v="-2.67"/>
  </r>
  <r>
    <s v="ORD-0380"/>
    <x v="48"/>
    <x v="2"/>
    <s v="Seattle"/>
    <s v="Home Office"/>
    <x v="2"/>
    <x v="3"/>
    <n v="4"/>
    <n v="87.72"/>
    <n v="0.05"/>
    <n v="350.88"/>
    <n v="88.57"/>
  </r>
  <r>
    <s v="ORD-0381"/>
    <x v="58"/>
    <x v="3"/>
    <s v="Chicago"/>
    <s v="Home Office"/>
    <x v="1"/>
    <x v="1"/>
    <n v="1"/>
    <n v="332.87"/>
    <n v="0.1"/>
    <n v="332.87"/>
    <n v="23.25"/>
  </r>
  <r>
    <s v="ORD-0382"/>
    <x v="232"/>
    <x v="3"/>
    <s v="Houston"/>
    <s v="Consumer"/>
    <x v="2"/>
    <x v="7"/>
    <n v="6"/>
    <n v="367.38"/>
    <n v="0.05"/>
    <n v="2204.2800000000002"/>
    <n v="438.83"/>
  </r>
  <r>
    <s v="ORD-0383"/>
    <x v="98"/>
    <x v="3"/>
    <s v="Seattle"/>
    <s v="Home Office"/>
    <x v="1"/>
    <x v="1"/>
    <n v="3"/>
    <n v="422.71"/>
    <n v="0.2"/>
    <n v="1268.1300000000001"/>
    <n v="6.7"/>
  </r>
  <r>
    <s v="ORD-0384"/>
    <x v="231"/>
    <x v="3"/>
    <s v="Chicago"/>
    <s v="Corporate"/>
    <x v="0"/>
    <x v="0"/>
    <n v="6"/>
    <n v="332.4"/>
    <n v="0.05"/>
    <n v="1994.4"/>
    <n v="231.99"/>
  </r>
  <r>
    <s v="ORD-0385"/>
    <x v="240"/>
    <x v="3"/>
    <s v="Seattle"/>
    <s v="Corporate"/>
    <x v="2"/>
    <x v="3"/>
    <n v="8"/>
    <n v="427.84"/>
    <n v="0.15"/>
    <n v="3422.72"/>
    <n v="-13.97"/>
  </r>
  <r>
    <s v="ORD-0386"/>
    <x v="120"/>
    <x v="0"/>
    <s v="Los Angeles"/>
    <s v="Home Office"/>
    <x v="2"/>
    <x v="8"/>
    <n v="7"/>
    <n v="271.97000000000003"/>
    <n v="0.15"/>
    <n v="1903.79"/>
    <n v="-7.59"/>
  </r>
  <r>
    <s v="ORD-0387"/>
    <x v="190"/>
    <x v="1"/>
    <s v="Phoenix"/>
    <s v="Corporate"/>
    <x v="0"/>
    <x v="5"/>
    <n v="3"/>
    <n v="168.45"/>
    <n v="0.05"/>
    <n v="505.35"/>
    <n v="112.31"/>
  </r>
  <r>
    <s v="ORD-0388"/>
    <x v="24"/>
    <x v="2"/>
    <s v="New York"/>
    <s v="Corporate"/>
    <x v="1"/>
    <x v="6"/>
    <n v="1"/>
    <n v="234.25"/>
    <n v="0.05"/>
    <n v="234.25"/>
    <n v="51.02"/>
  </r>
  <r>
    <s v="ORD-0389"/>
    <x v="241"/>
    <x v="1"/>
    <s v="Atlanta"/>
    <s v="Consumer"/>
    <x v="2"/>
    <x v="8"/>
    <n v="7"/>
    <n v="210.65"/>
    <n v="0.15"/>
    <n v="1474.55"/>
    <n v="115.5"/>
  </r>
  <r>
    <s v="ORD-0390"/>
    <x v="100"/>
    <x v="1"/>
    <s v="Dallas"/>
    <s v="Consumer"/>
    <x v="1"/>
    <x v="1"/>
    <n v="4"/>
    <n v="23.69"/>
    <n v="0"/>
    <n v="94.76"/>
    <n v="19.579999999999998"/>
  </r>
  <r>
    <s v="ORD-0391"/>
    <x v="242"/>
    <x v="1"/>
    <s v="Chicago"/>
    <s v="Corporate"/>
    <x v="1"/>
    <x v="1"/>
    <n v="2"/>
    <n v="201.02"/>
    <n v="0.2"/>
    <n v="402.04"/>
    <n v="14.69"/>
  </r>
  <r>
    <s v="ORD-0392"/>
    <x v="243"/>
    <x v="0"/>
    <s v="Dallas"/>
    <s v="Corporate"/>
    <x v="2"/>
    <x v="3"/>
    <n v="7"/>
    <n v="445.67"/>
    <n v="0.05"/>
    <n v="3119.69"/>
    <n v="353.1"/>
  </r>
  <r>
    <s v="ORD-0393"/>
    <x v="244"/>
    <x v="2"/>
    <s v="New York"/>
    <s v="Corporate"/>
    <x v="0"/>
    <x v="4"/>
    <n v="4"/>
    <n v="123.8"/>
    <n v="0.05"/>
    <n v="495.2"/>
    <n v="39.76"/>
  </r>
  <r>
    <s v="ORD-0394"/>
    <x v="245"/>
    <x v="1"/>
    <s v="New York"/>
    <s v="Home Office"/>
    <x v="0"/>
    <x v="5"/>
    <n v="7"/>
    <n v="440.12"/>
    <n v="0.1"/>
    <n v="3080.84"/>
    <n v="609.42999999999995"/>
  </r>
  <r>
    <s v="ORD-0395"/>
    <x v="131"/>
    <x v="0"/>
    <s v="Los Angeles"/>
    <s v="Home Office"/>
    <x v="1"/>
    <x v="6"/>
    <n v="1"/>
    <n v="38.39"/>
    <n v="0"/>
    <n v="38.39"/>
    <n v="5.92"/>
  </r>
  <r>
    <s v="ORD-0396"/>
    <x v="4"/>
    <x v="0"/>
    <s v="Chicago"/>
    <s v="Corporate"/>
    <x v="1"/>
    <x v="1"/>
    <n v="4"/>
    <n v="352.17"/>
    <n v="0"/>
    <n v="1408.68"/>
    <n v="176.48"/>
  </r>
  <r>
    <s v="ORD-0397"/>
    <x v="246"/>
    <x v="0"/>
    <s v="Chicago"/>
    <s v="Corporate"/>
    <x v="1"/>
    <x v="2"/>
    <n v="7"/>
    <n v="417.87"/>
    <n v="0"/>
    <n v="2925.09"/>
    <n v="520.36"/>
  </r>
  <r>
    <s v="ORD-0398"/>
    <x v="234"/>
    <x v="0"/>
    <s v="Phoenix"/>
    <s v="Consumer"/>
    <x v="2"/>
    <x v="8"/>
    <n v="4"/>
    <n v="310.37"/>
    <n v="0.1"/>
    <n v="1241.48"/>
    <n v="264.27999999999997"/>
  </r>
  <r>
    <s v="ORD-0399"/>
    <x v="247"/>
    <x v="2"/>
    <s v="Chicago"/>
    <s v="Corporate"/>
    <x v="1"/>
    <x v="1"/>
    <n v="1"/>
    <n v="280.85000000000002"/>
    <n v="0.05"/>
    <n v="280.85000000000002"/>
    <n v="56.04"/>
  </r>
  <r>
    <s v="ORD-0400"/>
    <x v="248"/>
    <x v="2"/>
    <s v="Los Angeles"/>
    <s v="Consumer"/>
    <x v="0"/>
    <x v="4"/>
    <n v="2"/>
    <n v="420.09"/>
    <n v="0.15"/>
    <n v="840.18"/>
    <n v="16.62"/>
  </r>
  <r>
    <s v="ORD-0401"/>
    <x v="74"/>
    <x v="0"/>
    <s v="Seattle"/>
    <s v="Consumer"/>
    <x v="1"/>
    <x v="2"/>
    <n v="4"/>
    <n v="236.52"/>
    <n v="0.1"/>
    <n v="946.08"/>
    <n v="67.2"/>
  </r>
  <r>
    <s v="ORD-0402"/>
    <x v="249"/>
    <x v="0"/>
    <s v="Dallas"/>
    <s v="Corporate"/>
    <x v="0"/>
    <x v="4"/>
    <n v="6"/>
    <n v="221.61"/>
    <n v="0"/>
    <n v="1329.66"/>
    <n v="98.06"/>
  </r>
  <r>
    <s v="ORD-0403"/>
    <x v="88"/>
    <x v="0"/>
    <s v="Chicago"/>
    <s v="Home Office"/>
    <x v="0"/>
    <x v="0"/>
    <n v="6"/>
    <n v="188.4"/>
    <n v="0.15"/>
    <n v="1130.4000000000001"/>
    <n v="250.13"/>
  </r>
  <r>
    <s v="ORD-0404"/>
    <x v="250"/>
    <x v="0"/>
    <s v="Los Angeles"/>
    <s v="Consumer"/>
    <x v="2"/>
    <x v="3"/>
    <n v="7"/>
    <n v="209.12"/>
    <n v="0.15"/>
    <n v="1463.84"/>
    <n v="73.86"/>
  </r>
  <r>
    <s v="ORD-0405"/>
    <x v="127"/>
    <x v="3"/>
    <s v="Los Angeles"/>
    <s v="Consumer"/>
    <x v="2"/>
    <x v="7"/>
    <n v="3"/>
    <n v="352.64"/>
    <n v="0"/>
    <n v="1057.92"/>
    <n v="312.5"/>
  </r>
  <r>
    <s v="ORD-0406"/>
    <x v="11"/>
    <x v="0"/>
    <s v="Phoenix"/>
    <s v="Corporate"/>
    <x v="2"/>
    <x v="7"/>
    <n v="3"/>
    <n v="311.49"/>
    <n v="0.1"/>
    <n v="934.47"/>
    <n v="147.5"/>
  </r>
  <r>
    <s v="ORD-0407"/>
    <x v="251"/>
    <x v="1"/>
    <s v="Atlanta"/>
    <s v="Consumer"/>
    <x v="2"/>
    <x v="3"/>
    <n v="8"/>
    <n v="37.299999999999997"/>
    <n v="0.1"/>
    <n v="298.39999999999998"/>
    <n v="50.35"/>
  </r>
  <r>
    <s v="ORD-0408"/>
    <x v="69"/>
    <x v="1"/>
    <s v="Los Angeles"/>
    <s v="Home Office"/>
    <x v="1"/>
    <x v="1"/>
    <n v="7"/>
    <n v="335.93"/>
    <n v="0.05"/>
    <n v="2351.5100000000002"/>
    <n v="347.98"/>
  </r>
  <r>
    <s v="ORD-0409"/>
    <x v="252"/>
    <x v="3"/>
    <s v="New York"/>
    <s v="Home Office"/>
    <x v="0"/>
    <x v="0"/>
    <n v="1"/>
    <n v="327.05"/>
    <n v="0.05"/>
    <n v="327.05"/>
    <n v="50.33"/>
  </r>
  <r>
    <s v="ORD-0410"/>
    <x v="71"/>
    <x v="3"/>
    <s v="Dallas"/>
    <s v="Corporate"/>
    <x v="0"/>
    <x v="4"/>
    <n v="4"/>
    <n v="175.48"/>
    <n v="0.1"/>
    <n v="701.92"/>
    <n v="12.35"/>
  </r>
  <r>
    <s v="ORD-0411"/>
    <x v="253"/>
    <x v="3"/>
    <s v="Phoenix"/>
    <s v="Consumer"/>
    <x v="2"/>
    <x v="8"/>
    <n v="8"/>
    <n v="403.61"/>
    <n v="0.15"/>
    <n v="3228.88"/>
    <n v="14.55"/>
  </r>
  <r>
    <s v="ORD-0412"/>
    <x v="254"/>
    <x v="3"/>
    <s v="New York"/>
    <s v="Corporate"/>
    <x v="2"/>
    <x v="8"/>
    <n v="2"/>
    <n v="210.67"/>
    <n v="0"/>
    <n v="421.34"/>
    <n v="79.75"/>
  </r>
  <r>
    <s v="ORD-0413"/>
    <x v="77"/>
    <x v="0"/>
    <s v="Seattle"/>
    <s v="Home Office"/>
    <x v="1"/>
    <x v="2"/>
    <n v="4"/>
    <n v="332.48"/>
    <n v="0.15"/>
    <n v="1329.92"/>
    <n v="292.7"/>
  </r>
  <r>
    <s v="ORD-0414"/>
    <x v="255"/>
    <x v="0"/>
    <s v="Phoenix"/>
    <s v="Corporate"/>
    <x v="0"/>
    <x v="5"/>
    <n v="6"/>
    <n v="362.22"/>
    <n v="0"/>
    <n v="2173.3200000000002"/>
    <n v="161.61000000000001"/>
  </r>
  <r>
    <s v="ORD-0415"/>
    <x v="93"/>
    <x v="1"/>
    <s v="Seattle"/>
    <s v="Corporate"/>
    <x v="0"/>
    <x v="5"/>
    <n v="6"/>
    <n v="355.52"/>
    <n v="0"/>
    <n v="2133.12"/>
    <n v="584.94000000000005"/>
  </r>
  <r>
    <s v="ORD-0416"/>
    <x v="256"/>
    <x v="1"/>
    <s v="Atlanta"/>
    <s v="Home Office"/>
    <x v="1"/>
    <x v="2"/>
    <n v="2"/>
    <n v="138.33000000000001"/>
    <n v="0.05"/>
    <n v="276.66000000000003"/>
    <n v="20.58"/>
  </r>
  <r>
    <s v="ORD-0417"/>
    <x v="156"/>
    <x v="1"/>
    <s v="Dallas"/>
    <s v="Home Office"/>
    <x v="2"/>
    <x v="8"/>
    <n v="2"/>
    <n v="382.22"/>
    <n v="0"/>
    <n v="764.44"/>
    <n v="215.31"/>
  </r>
  <r>
    <s v="ORD-0418"/>
    <x v="161"/>
    <x v="0"/>
    <s v="Chicago"/>
    <s v="Home Office"/>
    <x v="2"/>
    <x v="3"/>
    <n v="8"/>
    <n v="17.100000000000001"/>
    <n v="0"/>
    <n v="136.80000000000001"/>
    <n v="25.76"/>
  </r>
  <r>
    <s v="ORD-0419"/>
    <x v="257"/>
    <x v="3"/>
    <s v="Chicago"/>
    <s v="Home Office"/>
    <x v="1"/>
    <x v="6"/>
    <n v="3"/>
    <n v="65.22"/>
    <n v="0.2"/>
    <n v="195.66"/>
    <n v="21.82"/>
  </r>
  <r>
    <s v="ORD-0420"/>
    <x v="258"/>
    <x v="3"/>
    <s v="Houston"/>
    <s v="Home Office"/>
    <x v="2"/>
    <x v="7"/>
    <n v="5"/>
    <n v="207.97"/>
    <n v="0.1"/>
    <n v="1039.8499999999999"/>
    <n v="257.49"/>
  </r>
  <r>
    <s v="ORD-0421"/>
    <x v="259"/>
    <x v="1"/>
    <s v="Seattle"/>
    <s v="Home Office"/>
    <x v="0"/>
    <x v="5"/>
    <n v="6"/>
    <n v="360.26"/>
    <n v="0.2"/>
    <n v="2161.56"/>
    <n v="255.38"/>
  </r>
  <r>
    <s v="ORD-0422"/>
    <x v="260"/>
    <x v="1"/>
    <s v="Dallas"/>
    <s v="Corporate"/>
    <x v="1"/>
    <x v="2"/>
    <n v="3"/>
    <n v="490.95"/>
    <n v="0.05"/>
    <n v="1472.85"/>
    <n v="226.04"/>
  </r>
  <r>
    <s v="ORD-0423"/>
    <x v="206"/>
    <x v="2"/>
    <s v="Phoenix"/>
    <s v="Corporate"/>
    <x v="1"/>
    <x v="6"/>
    <n v="7"/>
    <n v="342.01"/>
    <n v="0.2"/>
    <n v="2394.0700000000002"/>
    <n v="75.37"/>
  </r>
  <r>
    <s v="ORD-0424"/>
    <x v="211"/>
    <x v="0"/>
    <s v="Atlanta"/>
    <s v="Consumer"/>
    <x v="1"/>
    <x v="6"/>
    <n v="3"/>
    <n v="40.74"/>
    <n v="0"/>
    <n v="122.22"/>
    <n v="12.22"/>
  </r>
  <r>
    <s v="ORD-0425"/>
    <x v="133"/>
    <x v="2"/>
    <s v="New York"/>
    <s v="Consumer"/>
    <x v="1"/>
    <x v="1"/>
    <n v="5"/>
    <n v="113.94"/>
    <n v="0.2"/>
    <n v="569.70000000000005"/>
    <n v="-18.190000000000001"/>
  </r>
  <r>
    <s v="ORD-0426"/>
    <x v="259"/>
    <x v="0"/>
    <s v="Houston"/>
    <s v="Home Office"/>
    <x v="1"/>
    <x v="2"/>
    <n v="7"/>
    <n v="130.22999999999999"/>
    <n v="0.1"/>
    <n v="911.61"/>
    <n v="162.47999999999999"/>
  </r>
  <r>
    <s v="ORD-0427"/>
    <x v="182"/>
    <x v="3"/>
    <s v="Dallas"/>
    <s v="Home Office"/>
    <x v="2"/>
    <x v="3"/>
    <n v="1"/>
    <n v="21.29"/>
    <n v="0.1"/>
    <n v="21.29"/>
    <n v="1.19"/>
  </r>
  <r>
    <s v="ORD-0428"/>
    <x v="91"/>
    <x v="1"/>
    <s v="Dallas"/>
    <s v="Home Office"/>
    <x v="1"/>
    <x v="2"/>
    <n v="4"/>
    <n v="391.43"/>
    <n v="0.05"/>
    <n v="1565.72"/>
    <n v="158.21"/>
  </r>
  <r>
    <s v="ORD-0429"/>
    <x v="35"/>
    <x v="0"/>
    <s v="Los Angeles"/>
    <s v="Home Office"/>
    <x v="0"/>
    <x v="4"/>
    <n v="7"/>
    <n v="34.71"/>
    <n v="0.1"/>
    <n v="242.97"/>
    <n v="35.020000000000003"/>
  </r>
  <r>
    <s v="ORD-0430"/>
    <x v="261"/>
    <x v="1"/>
    <s v="Dallas"/>
    <s v="Consumer"/>
    <x v="1"/>
    <x v="1"/>
    <n v="8"/>
    <n v="359.2"/>
    <n v="0.05"/>
    <n v="2873.6"/>
    <n v="107.72"/>
  </r>
  <r>
    <s v="ORD-0431"/>
    <x v="262"/>
    <x v="0"/>
    <s v="Seattle"/>
    <s v="Home Office"/>
    <x v="1"/>
    <x v="2"/>
    <n v="8"/>
    <n v="398.11"/>
    <n v="0.2"/>
    <n v="3184.88"/>
    <n v="157.72"/>
  </r>
  <r>
    <s v="ORD-0432"/>
    <x v="263"/>
    <x v="2"/>
    <s v="Los Angeles"/>
    <s v="Consumer"/>
    <x v="1"/>
    <x v="6"/>
    <n v="3"/>
    <n v="216.73"/>
    <n v="0.2"/>
    <n v="650.19000000000005"/>
    <n v="39.57"/>
  </r>
  <r>
    <s v="ORD-0433"/>
    <x v="29"/>
    <x v="1"/>
    <s v="Dallas"/>
    <s v="Corporate"/>
    <x v="0"/>
    <x v="0"/>
    <n v="6"/>
    <n v="157.38"/>
    <n v="0.2"/>
    <n v="944.28"/>
    <n v="87.46"/>
  </r>
  <r>
    <s v="ORD-0434"/>
    <x v="2"/>
    <x v="0"/>
    <s v="Phoenix"/>
    <s v="Corporate"/>
    <x v="0"/>
    <x v="0"/>
    <n v="4"/>
    <n v="453.68"/>
    <n v="0.2"/>
    <n v="1814.72"/>
    <n v="344.16"/>
  </r>
  <r>
    <s v="ORD-0435"/>
    <x v="20"/>
    <x v="0"/>
    <s v="Los Angeles"/>
    <s v="Corporate"/>
    <x v="1"/>
    <x v="1"/>
    <n v="7"/>
    <n v="139.44999999999999"/>
    <n v="0.1"/>
    <n v="976.15"/>
    <n v="10.91"/>
  </r>
  <r>
    <s v="ORD-0436"/>
    <x v="233"/>
    <x v="2"/>
    <s v="Phoenix"/>
    <s v="Corporate"/>
    <x v="1"/>
    <x v="2"/>
    <n v="1"/>
    <n v="158.77000000000001"/>
    <n v="0.05"/>
    <n v="158.77000000000001"/>
    <n v="17.079999999999998"/>
  </r>
  <r>
    <s v="ORD-0437"/>
    <x v="192"/>
    <x v="0"/>
    <s v="New York"/>
    <s v="Home Office"/>
    <x v="0"/>
    <x v="0"/>
    <n v="2"/>
    <n v="117.23"/>
    <n v="0.05"/>
    <n v="234.46"/>
    <n v="57.15"/>
  </r>
  <r>
    <s v="ORD-0438"/>
    <x v="264"/>
    <x v="0"/>
    <s v="Atlanta"/>
    <s v="Home Office"/>
    <x v="0"/>
    <x v="0"/>
    <n v="2"/>
    <n v="377.24"/>
    <n v="0.05"/>
    <n v="754.48"/>
    <n v="25.23"/>
  </r>
  <r>
    <s v="ORD-0439"/>
    <x v="50"/>
    <x v="0"/>
    <s v="Chicago"/>
    <s v="Consumer"/>
    <x v="0"/>
    <x v="4"/>
    <n v="5"/>
    <n v="285.67"/>
    <n v="0.2"/>
    <n v="1428.35"/>
    <n v="236.26"/>
  </r>
  <r>
    <s v="ORD-0440"/>
    <x v="265"/>
    <x v="3"/>
    <s v="Atlanta"/>
    <s v="Home Office"/>
    <x v="2"/>
    <x v="3"/>
    <n v="7"/>
    <n v="168.46"/>
    <n v="0.15"/>
    <n v="1179.22"/>
    <n v="177.86"/>
  </r>
  <r>
    <s v="ORD-0441"/>
    <x v="199"/>
    <x v="0"/>
    <s v="Los Angeles"/>
    <s v="Home Office"/>
    <x v="1"/>
    <x v="2"/>
    <n v="1"/>
    <n v="354.93"/>
    <n v="0"/>
    <n v="354.93"/>
    <n v="49.49"/>
  </r>
  <r>
    <s v="ORD-0442"/>
    <x v="152"/>
    <x v="0"/>
    <s v="Los Angeles"/>
    <s v="Corporate"/>
    <x v="2"/>
    <x v="7"/>
    <n v="5"/>
    <n v="386.16"/>
    <n v="0.15"/>
    <n v="1930.8"/>
    <n v="150.32"/>
  </r>
  <r>
    <s v="ORD-0443"/>
    <x v="246"/>
    <x v="0"/>
    <s v="Houston"/>
    <s v="Home Office"/>
    <x v="2"/>
    <x v="8"/>
    <n v="3"/>
    <n v="377.18"/>
    <n v="0.2"/>
    <n v="1131.54"/>
    <n v="38.18"/>
  </r>
  <r>
    <s v="ORD-0444"/>
    <x v="120"/>
    <x v="1"/>
    <s v="Dallas"/>
    <s v="Home Office"/>
    <x v="2"/>
    <x v="7"/>
    <n v="1"/>
    <n v="283.45999999999998"/>
    <n v="0.2"/>
    <n v="283.45999999999998"/>
    <n v="-1.32"/>
  </r>
  <r>
    <s v="ORD-0445"/>
    <x v="266"/>
    <x v="0"/>
    <s v="Los Angeles"/>
    <s v="Corporate"/>
    <x v="1"/>
    <x v="2"/>
    <n v="5"/>
    <n v="116.88"/>
    <n v="0.1"/>
    <n v="584.4"/>
    <n v="33.86"/>
  </r>
  <r>
    <s v="ORD-0446"/>
    <x v="166"/>
    <x v="1"/>
    <s v="Seattle"/>
    <s v="Consumer"/>
    <x v="0"/>
    <x v="4"/>
    <n v="4"/>
    <n v="70.59"/>
    <n v="0.2"/>
    <n v="282.36"/>
    <n v="48.87"/>
  </r>
  <r>
    <s v="ORD-0447"/>
    <x v="65"/>
    <x v="3"/>
    <s v="Seattle"/>
    <s v="Consumer"/>
    <x v="1"/>
    <x v="2"/>
    <n v="2"/>
    <n v="136.58000000000001"/>
    <n v="0.05"/>
    <n v="273.16000000000003"/>
    <n v="57.06"/>
  </r>
  <r>
    <s v="ORD-0448"/>
    <x v="24"/>
    <x v="2"/>
    <s v="Houston"/>
    <s v="Home Office"/>
    <x v="2"/>
    <x v="8"/>
    <n v="2"/>
    <n v="153.29"/>
    <n v="0"/>
    <n v="306.58"/>
    <n v="84.32"/>
  </r>
  <r>
    <s v="ORD-0449"/>
    <x v="196"/>
    <x v="3"/>
    <s v="Seattle"/>
    <s v="Home Office"/>
    <x v="2"/>
    <x v="3"/>
    <n v="3"/>
    <n v="289.29000000000002"/>
    <n v="0.1"/>
    <n v="867.87"/>
    <n v="179.58"/>
  </r>
  <r>
    <s v="ORD-0450"/>
    <x v="53"/>
    <x v="1"/>
    <s v="Houston"/>
    <s v="Consumer"/>
    <x v="0"/>
    <x v="5"/>
    <n v="7"/>
    <n v="149.19"/>
    <n v="0.1"/>
    <n v="1044.33"/>
    <n v="40.29"/>
  </r>
  <r>
    <s v="ORD-0451"/>
    <x v="50"/>
    <x v="3"/>
    <s v="Seattle"/>
    <s v="Corporate"/>
    <x v="2"/>
    <x v="3"/>
    <n v="8"/>
    <n v="282.56"/>
    <n v="0.05"/>
    <n v="2260.48"/>
    <n v="426.98"/>
  </r>
  <r>
    <s v="ORD-0452"/>
    <x v="135"/>
    <x v="2"/>
    <s v="Seattle"/>
    <s v="Consumer"/>
    <x v="0"/>
    <x v="0"/>
    <n v="2"/>
    <n v="367.8"/>
    <n v="0"/>
    <n v="735.6"/>
    <n v="193.02"/>
  </r>
  <r>
    <s v="ORD-0453"/>
    <x v="123"/>
    <x v="0"/>
    <s v="Houston"/>
    <s v="Corporate"/>
    <x v="1"/>
    <x v="2"/>
    <n v="1"/>
    <n v="282.52"/>
    <n v="0.2"/>
    <n v="282.52"/>
    <n v="51.84"/>
  </r>
  <r>
    <s v="ORD-0454"/>
    <x v="130"/>
    <x v="3"/>
    <s v="Atlanta"/>
    <s v="Corporate"/>
    <x v="1"/>
    <x v="6"/>
    <n v="4"/>
    <n v="447.35"/>
    <n v="0.2"/>
    <n v="1789.4"/>
    <n v="256.43"/>
  </r>
  <r>
    <s v="ORD-0455"/>
    <x v="6"/>
    <x v="1"/>
    <s v="Los Angeles"/>
    <s v="Home Office"/>
    <x v="2"/>
    <x v="7"/>
    <n v="7"/>
    <n v="191.47"/>
    <n v="0"/>
    <n v="1340.29"/>
    <n v="289.06"/>
  </r>
  <r>
    <s v="ORD-0456"/>
    <x v="137"/>
    <x v="1"/>
    <s v="Chicago"/>
    <s v="Corporate"/>
    <x v="1"/>
    <x v="6"/>
    <n v="3"/>
    <n v="289.68"/>
    <n v="0.2"/>
    <n v="869.04"/>
    <n v="108.5"/>
  </r>
  <r>
    <s v="ORD-0457"/>
    <x v="121"/>
    <x v="3"/>
    <s v="Phoenix"/>
    <s v="Consumer"/>
    <x v="2"/>
    <x v="8"/>
    <n v="4"/>
    <n v="45.49"/>
    <n v="0.1"/>
    <n v="181.96"/>
    <n v="11.56"/>
  </r>
  <r>
    <s v="ORD-0458"/>
    <x v="267"/>
    <x v="1"/>
    <s v="Phoenix"/>
    <s v="Corporate"/>
    <x v="1"/>
    <x v="1"/>
    <n v="8"/>
    <n v="442.55"/>
    <n v="0"/>
    <n v="3540.4"/>
    <n v="1044.94"/>
  </r>
  <r>
    <s v="ORD-0459"/>
    <x v="262"/>
    <x v="0"/>
    <s v="Seattle"/>
    <s v="Home Office"/>
    <x v="1"/>
    <x v="2"/>
    <n v="5"/>
    <n v="295.64"/>
    <n v="0.2"/>
    <n v="1478.2"/>
    <n v="5.12"/>
  </r>
  <r>
    <s v="ORD-0460"/>
    <x v="30"/>
    <x v="3"/>
    <s v="Los Angeles"/>
    <s v="Home Office"/>
    <x v="2"/>
    <x v="7"/>
    <n v="5"/>
    <n v="197.52"/>
    <n v="0.05"/>
    <n v="987.6"/>
    <n v="154.65"/>
  </r>
  <r>
    <s v="ORD-0461"/>
    <x v="268"/>
    <x v="2"/>
    <s v="New York"/>
    <s v="Home Office"/>
    <x v="2"/>
    <x v="3"/>
    <n v="3"/>
    <n v="228.35"/>
    <n v="0.05"/>
    <n v="685.05"/>
    <n v="32.04"/>
  </r>
  <r>
    <s v="ORD-0462"/>
    <x v="9"/>
    <x v="2"/>
    <s v="Chicago"/>
    <s v="Consumer"/>
    <x v="0"/>
    <x v="4"/>
    <n v="6"/>
    <n v="306.98"/>
    <n v="0"/>
    <n v="1841.88"/>
    <n v="396.52"/>
  </r>
  <r>
    <s v="ORD-0463"/>
    <x v="172"/>
    <x v="2"/>
    <s v="Phoenix"/>
    <s v="Corporate"/>
    <x v="1"/>
    <x v="6"/>
    <n v="8"/>
    <n v="117.19"/>
    <n v="0.05"/>
    <n v="937.52"/>
    <n v="177.49"/>
  </r>
  <r>
    <s v="ORD-0464"/>
    <x v="269"/>
    <x v="0"/>
    <s v="Chicago"/>
    <s v="Consumer"/>
    <x v="0"/>
    <x v="4"/>
    <n v="3"/>
    <n v="320.33"/>
    <n v="0"/>
    <n v="960.99"/>
    <n v="262.06"/>
  </r>
  <r>
    <s v="ORD-0465"/>
    <x v="270"/>
    <x v="0"/>
    <s v="Atlanta"/>
    <s v="Consumer"/>
    <x v="0"/>
    <x v="5"/>
    <n v="1"/>
    <n v="441.08"/>
    <n v="0.1"/>
    <n v="441.08"/>
    <n v="106.66"/>
  </r>
  <r>
    <s v="ORD-0466"/>
    <x v="271"/>
    <x v="3"/>
    <s v="Chicago"/>
    <s v="Corporate"/>
    <x v="1"/>
    <x v="1"/>
    <n v="4"/>
    <n v="417.73"/>
    <n v="0.2"/>
    <n v="1670.92"/>
    <n v="-7.22"/>
  </r>
  <r>
    <s v="ORD-0467"/>
    <x v="272"/>
    <x v="1"/>
    <s v="Seattle"/>
    <s v="Home Office"/>
    <x v="1"/>
    <x v="2"/>
    <n v="3"/>
    <n v="366.23"/>
    <n v="0.1"/>
    <n v="1098.69"/>
    <n v="258.83999999999997"/>
  </r>
  <r>
    <s v="ORD-0468"/>
    <x v="106"/>
    <x v="0"/>
    <s v="Chicago"/>
    <s v="Corporate"/>
    <x v="0"/>
    <x v="5"/>
    <n v="2"/>
    <n v="23.03"/>
    <n v="0.2"/>
    <n v="46.06"/>
    <n v="8.06"/>
  </r>
  <r>
    <s v="ORD-0469"/>
    <x v="47"/>
    <x v="3"/>
    <s v="Chicago"/>
    <s v="Consumer"/>
    <x v="0"/>
    <x v="0"/>
    <n v="8"/>
    <n v="452.28"/>
    <n v="0.2"/>
    <n v="3618.24"/>
    <n v="-109.42"/>
  </r>
  <r>
    <s v="ORD-0470"/>
    <x v="273"/>
    <x v="0"/>
    <s v="Chicago"/>
    <s v="Home Office"/>
    <x v="0"/>
    <x v="5"/>
    <n v="1"/>
    <n v="450.03"/>
    <n v="0.15"/>
    <n v="450.03"/>
    <n v="50.86"/>
  </r>
  <r>
    <s v="ORD-0471"/>
    <x v="33"/>
    <x v="0"/>
    <s v="Houston"/>
    <s v="Corporate"/>
    <x v="1"/>
    <x v="2"/>
    <n v="8"/>
    <n v="397.93"/>
    <n v="0.15"/>
    <n v="3183.44"/>
    <n v="223.25"/>
  </r>
  <r>
    <s v="ORD-0472"/>
    <x v="101"/>
    <x v="0"/>
    <s v="Phoenix"/>
    <s v="Corporate"/>
    <x v="2"/>
    <x v="8"/>
    <n v="4"/>
    <n v="456.39"/>
    <n v="0"/>
    <n v="1825.56"/>
    <n v="220.56"/>
  </r>
  <r>
    <s v="ORD-0473"/>
    <x v="141"/>
    <x v="3"/>
    <s v="New York"/>
    <s v="Consumer"/>
    <x v="2"/>
    <x v="8"/>
    <n v="2"/>
    <n v="267.08"/>
    <n v="0.15"/>
    <n v="534.16"/>
    <n v="78.06"/>
  </r>
  <r>
    <s v="ORD-0474"/>
    <x v="227"/>
    <x v="2"/>
    <s v="Chicago"/>
    <s v="Consumer"/>
    <x v="2"/>
    <x v="3"/>
    <n v="7"/>
    <n v="331.01"/>
    <n v="0.1"/>
    <n v="2317.0700000000002"/>
    <n v="162.94999999999999"/>
  </r>
  <r>
    <s v="ORD-0475"/>
    <x v="204"/>
    <x v="3"/>
    <s v="Seattle"/>
    <s v="Home Office"/>
    <x v="1"/>
    <x v="1"/>
    <n v="7"/>
    <n v="381.16"/>
    <n v="0.15"/>
    <n v="2668.12"/>
    <n v="321.58"/>
  </r>
  <r>
    <s v="ORD-0476"/>
    <x v="46"/>
    <x v="3"/>
    <s v="Phoenix"/>
    <s v="Home Office"/>
    <x v="0"/>
    <x v="5"/>
    <n v="5"/>
    <n v="494.43"/>
    <n v="0.2"/>
    <n v="2472.15"/>
    <n v="113.94"/>
  </r>
  <r>
    <s v="ORD-0477"/>
    <x v="274"/>
    <x v="3"/>
    <s v="Los Angeles"/>
    <s v="Home Office"/>
    <x v="1"/>
    <x v="6"/>
    <n v="4"/>
    <n v="231.6"/>
    <n v="0.05"/>
    <n v="926.4"/>
    <n v="48.7"/>
  </r>
  <r>
    <s v="ORD-0478"/>
    <x v="275"/>
    <x v="3"/>
    <s v="New York"/>
    <s v="Home Office"/>
    <x v="2"/>
    <x v="7"/>
    <n v="3"/>
    <n v="203.72"/>
    <n v="0"/>
    <n v="611.16"/>
    <n v="153.46"/>
  </r>
  <r>
    <s v="ORD-0479"/>
    <x v="121"/>
    <x v="3"/>
    <s v="Los Angeles"/>
    <s v="Consumer"/>
    <x v="1"/>
    <x v="1"/>
    <n v="5"/>
    <n v="122.56"/>
    <n v="0"/>
    <n v="612.79999999999995"/>
    <n v="123.94"/>
  </r>
  <r>
    <s v="ORD-0480"/>
    <x v="92"/>
    <x v="3"/>
    <s v="Seattle"/>
    <s v="Home Office"/>
    <x v="1"/>
    <x v="2"/>
    <n v="1"/>
    <n v="473.67"/>
    <n v="0.05"/>
    <n v="473.67"/>
    <n v="88.85"/>
  </r>
  <r>
    <s v="ORD-0481"/>
    <x v="144"/>
    <x v="0"/>
    <s v="Seattle"/>
    <s v="Home Office"/>
    <x v="0"/>
    <x v="0"/>
    <n v="4"/>
    <n v="31.3"/>
    <n v="0.2"/>
    <n v="125.2"/>
    <n v="10.97"/>
  </r>
  <r>
    <s v="ORD-0482"/>
    <x v="276"/>
    <x v="1"/>
    <s v="New York"/>
    <s v="Home Office"/>
    <x v="1"/>
    <x v="6"/>
    <n v="6"/>
    <n v="131.04"/>
    <n v="0"/>
    <n v="786.24"/>
    <n v="231.08"/>
  </r>
  <r>
    <s v="ORD-0483"/>
    <x v="197"/>
    <x v="2"/>
    <s v="Atlanta"/>
    <s v="Home Office"/>
    <x v="2"/>
    <x v="3"/>
    <n v="7"/>
    <n v="299.25"/>
    <n v="0.2"/>
    <n v="2094.75"/>
    <n v="-75.739999999999995"/>
  </r>
  <r>
    <s v="ORD-0484"/>
    <x v="229"/>
    <x v="0"/>
    <s v="Dallas"/>
    <s v="Corporate"/>
    <x v="0"/>
    <x v="0"/>
    <n v="6"/>
    <n v="482.19"/>
    <n v="0.1"/>
    <n v="2893.14"/>
    <n v="178.14"/>
  </r>
  <r>
    <s v="ORD-0485"/>
    <x v="132"/>
    <x v="3"/>
    <s v="Seattle"/>
    <s v="Consumer"/>
    <x v="2"/>
    <x v="7"/>
    <n v="3"/>
    <n v="212.46"/>
    <n v="0"/>
    <n v="637.38"/>
    <n v="120.88"/>
  </r>
  <r>
    <s v="ORD-0486"/>
    <x v="152"/>
    <x v="2"/>
    <s v="Seattle"/>
    <s v="Home Office"/>
    <x v="2"/>
    <x v="8"/>
    <n v="5"/>
    <n v="351.68"/>
    <n v="0.15"/>
    <n v="1758.4"/>
    <n v="216.8"/>
  </r>
  <r>
    <s v="ORD-0487"/>
    <x v="20"/>
    <x v="2"/>
    <s v="New York"/>
    <s v="Corporate"/>
    <x v="2"/>
    <x v="7"/>
    <n v="8"/>
    <n v="71.39"/>
    <n v="0"/>
    <n v="571.12"/>
    <n v="83.19"/>
  </r>
  <r>
    <s v="ORD-0488"/>
    <x v="277"/>
    <x v="1"/>
    <s v="New York"/>
    <s v="Corporate"/>
    <x v="2"/>
    <x v="3"/>
    <n v="5"/>
    <n v="135.4"/>
    <n v="0"/>
    <n v="677"/>
    <n v="101.37"/>
  </r>
  <r>
    <s v="ORD-0489"/>
    <x v="278"/>
    <x v="0"/>
    <s v="Dallas"/>
    <s v="Corporate"/>
    <x v="1"/>
    <x v="6"/>
    <n v="6"/>
    <n v="121"/>
    <n v="0.2"/>
    <n v="726"/>
    <n v="19.8"/>
  </r>
  <r>
    <s v="ORD-0490"/>
    <x v="89"/>
    <x v="1"/>
    <s v="Houston"/>
    <s v="Consumer"/>
    <x v="2"/>
    <x v="7"/>
    <n v="4"/>
    <n v="438.28"/>
    <n v="0.05"/>
    <n v="1753.12"/>
    <n v="148.66999999999999"/>
  </r>
  <r>
    <s v="ORD-0491"/>
    <x v="242"/>
    <x v="2"/>
    <s v="Los Angeles"/>
    <s v="Consumer"/>
    <x v="0"/>
    <x v="4"/>
    <n v="8"/>
    <n v="312.70999999999998"/>
    <n v="0.2"/>
    <n v="2501.6799999999998"/>
    <n v="499.08"/>
  </r>
  <r>
    <s v="ORD-0492"/>
    <x v="248"/>
    <x v="2"/>
    <s v="Seattle"/>
    <s v="Corporate"/>
    <x v="1"/>
    <x v="1"/>
    <n v="8"/>
    <n v="103.69"/>
    <n v="0.2"/>
    <n v="829.52"/>
    <n v="24.94"/>
  </r>
  <r>
    <s v="ORD-0493"/>
    <x v="64"/>
    <x v="1"/>
    <s v="Phoenix"/>
    <s v="Corporate"/>
    <x v="0"/>
    <x v="0"/>
    <n v="1"/>
    <n v="258.7"/>
    <n v="0.15"/>
    <n v="258.7"/>
    <n v="51.12"/>
  </r>
  <r>
    <s v="ORD-0494"/>
    <x v="96"/>
    <x v="3"/>
    <s v="Phoenix"/>
    <s v="Home Office"/>
    <x v="0"/>
    <x v="0"/>
    <n v="6"/>
    <n v="349.27"/>
    <n v="0"/>
    <n v="2095.62"/>
    <n v="457.95"/>
  </r>
  <r>
    <s v="ORD-0495"/>
    <x v="4"/>
    <x v="0"/>
    <s v="Seattle"/>
    <s v="Home Office"/>
    <x v="2"/>
    <x v="3"/>
    <n v="3"/>
    <n v="281.05"/>
    <n v="0.05"/>
    <n v="843.15"/>
    <n v="79.97"/>
  </r>
  <r>
    <s v="ORD-0496"/>
    <x v="163"/>
    <x v="2"/>
    <s v="Atlanta"/>
    <s v="Corporate"/>
    <x v="2"/>
    <x v="8"/>
    <n v="4"/>
    <n v="218.26"/>
    <n v="0.1"/>
    <n v="873.04"/>
    <n v="84.05"/>
  </r>
  <r>
    <s v="ORD-0497"/>
    <x v="76"/>
    <x v="2"/>
    <s v="Chicago"/>
    <s v="Home Office"/>
    <x v="2"/>
    <x v="8"/>
    <n v="4"/>
    <n v="409.88"/>
    <n v="0.1"/>
    <n v="1639.52"/>
    <n v="337.78"/>
  </r>
  <r>
    <s v="ORD-0498"/>
    <x v="112"/>
    <x v="3"/>
    <s v="Chicago"/>
    <s v="Consumer"/>
    <x v="2"/>
    <x v="8"/>
    <n v="8"/>
    <n v="405.75"/>
    <n v="0.05"/>
    <n v="3246"/>
    <n v="431.33"/>
  </r>
  <r>
    <s v="ORD-0499"/>
    <x v="279"/>
    <x v="2"/>
    <s v="New York"/>
    <s v="Corporate"/>
    <x v="2"/>
    <x v="3"/>
    <n v="7"/>
    <n v="63"/>
    <n v="0.05"/>
    <n v="441"/>
    <n v="18.75"/>
  </r>
  <r>
    <s v="ORD-0500"/>
    <x v="280"/>
    <x v="3"/>
    <s v="Dallas"/>
    <s v="Corporate"/>
    <x v="1"/>
    <x v="6"/>
    <n v="5"/>
    <n v="190.07"/>
    <n v="0.2"/>
    <n v="950.35"/>
    <n v="94.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8C439-384F-4060-A1E5-971D8B83922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E13:F18" firstHeaderRow="1" firstDataRow="1" firstDataCol="1"/>
  <pivotFields count="14">
    <pivotField showAll="0"/>
    <pivotField numFmtId="164" showAll="0">
      <items count="282">
        <item x="77"/>
        <item x="173"/>
        <item x="3"/>
        <item x="12"/>
        <item x="69"/>
        <item x="178"/>
        <item x="51"/>
        <item x="245"/>
        <item x="147"/>
        <item x="153"/>
        <item x="154"/>
        <item x="8"/>
        <item x="84"/>
        <item x="100"/>
        <item x="266"/>
        <item x="179"/>
        <item x="88"/>
        <item x="182"/>
        <item x="249"/>
        <item x="113"/>
        <item x="21"/>
        <item x="208"/>
        <item x="108"/>
        <item x="243"/>
        <item x="139"/>
        <item x="174"/>
        <item x="19"/>
        <item x="28"/>
        <item x="195"/>
        <item x="210"/>
        <item x="151"/>
        <item x="135"/>
        <item x="192"/>
        <item x="70"/>
        <item x="197"/>
        <item x="74"/>
        <item x="184"/>
        <item x="169"/>
        <item x="231"/>
        <item x="200"/>
        <item x="223"/>
        <item x="239"/>
        <item x="114"/>
        <item x="168"/>
        <item x="79"/>
        <item x="68"/>
        <item x="176"/>
        <item x="261"/>
        <item x="238"/>
        <item x="279"/>
        <item x="22"/>
        <item x="201"/>
        <item x="85"/>
        <item x="121"/>
        <item x="270"/>
        <item x="190"/>
        <item x="111"/>
        <item x="31"/>
        <item x="146"/>
        <item x="11"/>
        <item x="133"/>
        <item x="214"/>
        <item x="16"/>
        <item x="56"/>
        <item x="241"/>
        <item x="224"/>
        <item x="96"/>
        <item x="35"/>
        <item x="143"/>
        <item x="142"/>
        <item x="230"/>
        <item x="132"/>
        <item x="218"/>
        <item x="57"/>
        <item x="260"/>
        <item x="247"/>
        <item x="117"/>
        <item x="193"/>
        <item x="34"/>
        <item x="62"/>
        <item x="271"/>
        <item x="277"/>
        <item x="64"/>
        <item x="253"/>
        <item x="37"/>
        <item x="94"/>
        <item x="203"/>
        <item x="83"/>
        <item x="15"/>
        <item x="20"/>
        <item x="45"/>
        <item x="155"/>
        <item x="242"/>
        <item x="32"/>
        <item x="280"/>
        <item x="265"/>
        <item x="27"/>
        <item x="13"/>
        <item x="39"/>
        <item x="170"/>
        <item x="250"/>
        <item x="60"/>
        <item x="73"/>
        <item x="165"/>
        <item x="48"/>
        <item x="38"/>
        <item x="102"/>
        <item x="186"/>
        <item x="44"/>
        <item x="191"/>
        <item x="87"/>
        <item x="6"/>
        <item x="217"/>
        <item x="97"/>
        <item x="42"/>
        <item x="240"/>
        <item x="128"/>
        <item x="164"/>
        <item x="66"/>
        <item x="196"/>
        <item x="49"/>
        <item x="258"/>
        <item x="262"/>
        <item x="119"/>
        <item x="86"/>
        <item x="50"/>
        <item x="75"/>
        <item x="167"/>
        <item x="158"/>
        <item x="129"/>
        <item x="278"/>
        <item x="82"/>
        <item x="177"/>
        <item x="29"/>
        <item x="54"/>
        <item x="268"/>
        <item x="7"/>
        <item x="107"/>
        <item x="255"/>
        <item x="207"/>
        <item x="124"/>
        <item x="33"/>
        <item x="126"/>
        <item x="205"/>
        <item x="209"/>
        <item x="5"/>
        <item x="4"/>
        <item x="175"/>
        <item x="92"/>
        <item x="127"/>
        <item x="194"/>
        <item x="213"/>
        <item x="156"/>
        <item x="221"/>
        <item x="148"/>
        <item x="10"/>
        <item x="76"/>
        <item x="157"/>
        <item x="52"/>
        <item x="63"/>
        <item x="269"/>
        <item x="228"/>
        <item x="172"/>
        <item x="183"/>
        <item x="232"/>
        <item x="59"/>
        <item x="211"/>
        <item x="264"/>
        <item x="53"/>
        <item x="257"/>
        <item x="226"/>
        <item x="144"/>
        <item x="95"/>
        <item x="91"/>
        <item x="145"/>
        <item x="222"/>
        <item x="61"/>
        <item x="259"/>
        <item x="104"/>
        <item x="140"/>
        <item x="118"/>
        <item x="90"/>
        <item x="187"/>
        <item x="71"/>
        <item x="136"/>
        <item x="159"/>
        <item x="25"/>
        <item x="248"/>
        <item x="24"/>
        <item x="244"/>
        <item x="109"/>
        <item x="256"/>
        <item x="198"/>
        <item x="215"/>
        <item x="254"/>
        <item x="152"/>
        <item x="47"/>
        <item x="81"/>
        <item x="275"/>
        <item x="233"/>
        <item x="150"/>
        <item x="181"/>
        <item x="235"/>
        <item x="138"/>
        <item x="14"/>
        <item x="273"/>
        <item x="199"/>
        <item x="204"/>
        <item x="171"/>
        <item x="130"/>
        <item x="189"/>
        <item x="141"/>
        <item x="1"/>
        <item x="110"/>
        <item x="65"/>
        <item x="80"/>
        <item x="18"/>
        <item x="112"/>
        <item x="46"/>
        <item x="185"/>
        <item x="2"/>
        <item x="122"/>
        <item x="105"/>
        <item x="115"/>
        <item x="26"/>
        <item x="125"/>
        <item x="216"/>
        <item x="180"/>
        <item x="40"/>
        <item x="43"/>
        <item x="272"/>
        <item x="219"/>
        <item x="67"/>
        <item x="116"/>
        <item x="236"/>
        <item x="106"/>
        <item x="58"/>
        <item x="225"/>
        <item x="212"/>
        <item x="99"/>
        <item x="163"/>
        <item x="137"/>
        <item x="160"/>
        <item x="234"/>
        <item x="55"/>
        <item x="131"/>
        <item x="72"/>
        <item x="220"/>
        <item x="123"/>
        <item x="120"/>
        <item x="98"/>
        <item x="0"/>
        <item x="188"/>
        <item x="9"/>
        <item x="166"/>
        <item x="237"/>
        <item x="17"/>
        <item x="23"/>
        <item x="30"/>
        <item x="93"/>
        <item x="246"/>
        <item x="252"/>
        <item x="267"/>
        <item x="41"/>
        <item x="161"/>
        <item x="202"/>
        <item x="149"/>
        <item x="89"/>
        <item x="251"/>
        <item x="103"/>
        <item x="227"/>
        <item x="206"/>
        <item x="101"/>
        <item x="276"/>
        <item x="162"/>
        <item x="36"/>
        <item x="229"/>
        <item x="274"/>
        <item x="263"/>
        <item x="78"/>
        <item x="134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0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E9FAB-80A9-4DA2-87C0-F164AAA6F4F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3:B17" firstHeaderRow="1" firstDataRow="1" firstDataCol="1"/>
  <pivotFields count="14">
    <pivotField showAll="0"/>
    <pivotField numFmtId="164" showAll="0">
      <items count="282">
        <item x="77"/>
        <item x="173"/>
        <item x="3"/>
        <item x="12"/>
        <item x="69"/>
        <item x="178"/>
        <item x="51"/>
        <item x="245"/>
        <item x="147"/>
        <item x="153"/>
        <item x="154"/>
        <item x="8"/>
        <item x="84"/>
        <item x="100"/>
        <item x="266"/>
        <item x="179"/>
        <item x="88"/>
        <item x="182"/>
        <item x="249"/>
        <item x="113"/>
        <item x="21"/>
        <item x="208"/>
        <item x="108"/>
        <item x="243"/>
        <item x="139"/>
        <item x="174"/>
        <item x="19"/>
        <item x="28"/>
        <item x="195"/>
        <item x="210"/>
        <item x="151"/>
        <item x="135"/>
        <item x="192"/>
        <item x="70"/>
        <item x="197"/>
        <item x="74"/>
        <item x="184"/>
        <item x="169"/>
        <item x="231"/>
        <item x="200"/>
        <item x="223"/>
        <item x="239"/>
        <item x="114"/>
        <item x="168"/>
        <item x="79"/>
        <item x="68"/>
        <item x="176"/>
        <item x="261"/>
        <item x="238"/>
        <item x="279"/>
        <item x="22"/>
        <item x="201"/>
        <item x="85"/>
        <item x="121"/>
        <item x="270"/>
        <item x="190"/>
        <item x="111"/>
        <item x="31"/>
        <item x="146"/>
        <item x="11"/>
        <item x="133"/>
        <item x="214"/>
        <item x="16"/>
        <item x="56"/>
        <item x="241"/>
        <item x="224"/>
        <item x="96"/>
        <item x="35"/>
        <item x="143"/>
        <item x="142"/>
        <item x="230"/>
        <item x="132"/>
        <item x="218"/>
        <item x="57"/>
        <item x="260"/>
        <item x="247"/>
        <item x="117"/>
        <item x="193"/>
        <item x="34"/>
        <item x="62"/>
        <item x="271"/>
        <item x="277"/>
        <item x="64"/>
        <item x="253"/>
        <item x="37"/>
        <item x="94"/>
        <item x="203"/>
        <item x="83"/>
        <item x="15"/>
        <item x="20"/>
        <item x="45"/>
        <item x="155"/>
        <item x="242"/>
        <item x="32"/>
        <item x="280"/>
        <item x="265"/>
        <item x="27"/>
        <item x="13"/>
        <item x="39"/>
        <item x="170"/>
        <item x="250"/>
        <item x="60"/>
        <item x="73"/>
        <item x="165"/>
        <item x="48"/>
        <item x="38"/>
        <item x="102"/>
        <item x="186"/>
        <item x="44"/>
        <item x="191"/>
        <item x="87"/>
        <item x="6"/>
        <item x="217"/>
        <item x="97"/>
        <item x="42"/>
        <item x="240"/>
        <item x="128"/>
        <item x="164"/>
        <item x="66"/>
        <item x="196"/>
        <item x="49"/>
        <item x="258"/>
        <item x="262"/>
        <item x="119"/>
        <item x="86"/>
        <item x="50"/>
        <item x="75"/>
        <item x="167"/>
        <item x="158"/>
        <item x="129"/>
        <item x="278"/>
        <item x="82"/>
        <item x="177"/>
        <item x="29"/>
        <item x="54"/>
        <item x="268"/>
        <item x="7"/>
        <item x="107"/>
        <item x="255"/>
        <item x="207"/>
        <item x="124"/>
        <item x="33"/>
        <item x="126"/>
        <item x="205"/>
        <item x="209"/>
        <item x="5"/>
        <item x="4"/>
        <item x="175"/>
        <item x="92"/>
        <item x="127"/>
        <item x="194"/>
        <item x="213"/>
        <item x="156"/>
        <item x="221"/>
        <item x="148"/>
        <item x="10"/>
        <item x="76"/>
        <item x="157"/>
        <item x="52"/>
        <item x="63"/>
        <item x="269"/>
        <item x="228"/>
        <item x="172"/>
        <item x="183"/>
        <item x="232"/>
        <item x="59"/>
        <item x="211"/>
        <item x="264"/>
        <item x="53"/>
        <item x="257"/>
        <item x="226"/>
        <item x="144"/>
        <item x="95"/>
        <item x="91"/>
        <item x="145"/>
        <item x="222"/>
        <item x="61"/>
        <item x="259"/>
        <item x="104"/>
        <item x="140"/>
        <item x="118"/>
        <item x="90"/>
        <item x="187"/>
        <item x="71"/>
        <item x="136"/>
        <item x="159"/>
        <item x="25"/>
        <item x="248"/>
        <item x="24"/>
        <item x="244"/>
        <item x="109"/>
        <item x="256"/>
        <item x="198"/>
        <item x="215"/>
        <item x="254"/>
        <item x="152"/>
        <item x="47"/>
        <item x="81"/>
        <item x="275"/>
        <item x="233"/>
        <item x="150"/>
        <item x="181"/>
        <item x="235"/>
        <item x="138"/>
        <item x="14"/>
        <item x="273"/>
        <item x="199"/>
        <item x="204"/>
        <item x="171"/>
        <item x="130"/>
        <item x="189"/>
        <item x="141"/>
        <item x="1"/>
        <item x="110"/>
        <item x="65"/>
        <item x="80"/>
        <item x="18"/>
        <item x="112"/>
        <item x="46"/>
        <item x="185"/>
        <item x="2"/>
        <item x="122"/>
        <item x="105"/>
        <item x="115"/>
        <item x="26"/>
        <item x="125"/>
        <item x="216"/>
        <item x="180"/>
        <item x="40"/>
        <item x="43"/>
        <item x="272"/>
        <item x="219"/>
        <item x="67"/>
        <item x="116"/>
        <item x="236"/>
        <item x="106"/>
        <item x="58"/>
        <item x="225"/>
        <item x="212"/>
        <item x="99"/>
        <item x="163"/>
        <item x="137"/>
        <item x="160"/>
        <item x="234"/>
        <item x="55"/>
        <item x="131"/>
        <item x="72"/>
        <item x="220"/>
        <item x="123"/>
        <item x="120"/>
        <item x="98"/>
        <item x="0"/>
        <item x="188"/>
        <item x="9"/>
        <item x="166"/>
        <item x="237"/>
        <item x="17"/>
        <item x="23"/>
        <item x="30"/>
        <item x="93"/>
        <item x="246"/>
        <item x="252"/>
        <item x="267"/>
        <item x="41"/>
        <item x="161"/>
        <item x="202"/>
        <item x="149"/>
        <item x="89"/>
        <item x="251"/>
        <item x="103"/>
        <item x="227"/>
        <item x="206"/>
        <item x="101"/>
        <item x="276"/>
        <item x="162"/>
        <item x="36"/>
        <item x="229"/>
        <item x="274"/>
        <item x="263"/>
        <item x="78"/>
        <item x="134"/>
        <item t="default"/>
      </items>
    </pivotField>
    <pivotField showAll="0"/>
    <pivotField showAll="0"/>
    <pivotField showAll="0"/>
    <pivotField axis="axisRow" showAll="0" sortType="ascending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38AE8-2E8F-404E-AB0E-B1427623E30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3:P23" firstHeaderRow="1" firstDataRow="1" firstDataCol="1"/>
  <pivotFields count="14">
    <pivotField showAll="0"/>
    <pivotField numFmtId="164" showAll="0">
      <items count="282">
        <item x="77"/>
        <item x="173"/>
        <item x="3"/>
        <item x="12"/>
        <item x="69"/>
        <item x="178"/>
        <item x="51"/>
        <item x="245"/>
        <item x="147"/>
        <item x="153"/>
        <item x="154"/>
        <item x="8"/>
        <item x="84"/>
        <item x="100"/>
        <item x="266"/>
        <item x="179"/>
        <item x="88"/>
        <item x="182"/>
        <item x="249"/>
        <item x="113"/>
        <item x="21"/>
        <item x="208"/>
        <item x="108"/>
        <item x="243"/>
        <item x="139"/>
        <item x="174"/>
        <item x="19"/>
        <item x="28"/>
        <item x="195"/>
        <item x="210"/>
        <item x="151"/>
        <item x="135"/>
        <item x="192"/>
        <item x="70"/>
        <item x="197"/>
        <item x="74"/>
        <item x="184"/>
        <item x="169"/>
        <item x="231"/>
        <item x="200"/>
        <item x="223"/>
        <item x="239"/>
        <item x="114"/>
        <item x="168"/>
        <item x="79"/>
        <item x="68"/>
        <item x="176"/>
        <item x="261"/>
        <item x="238"/>
        <item x="279"/>
        <item x="22"/>
        <item x="201"/>
        <item x="85"/>
        <item x="121"/>
        <item x="270"/>
        <item x="190"/>
        <item x="111"/>
        <item x="31"/>
        <item x="146"/>
        <item x="11"/>
        <item x="133"/>
        <item x="214"/>
        <item x="16"/>
        <item x="56"/>
        <item x="241"/>
        <item x="224"/>
        <item x="96"/>
        <item x="35"/>
        <item x="143"/>
        <item x="142"/>
        <item x="230"/>
        <item x="132"/>
        <item x="218"/>
        <item x="57"/>
        <item x="260"/>
        <item x="247"/>
        <item x="117"/>
        <item x="193"/>
        <item x="34"/>
        <item x="62"/>
        <item x="271"/>
        <item x="277"/>
        <item x="64"/>
        <item x="253"/>
        <item x="37"/>
        <item x="94"/>
        <item x="203"/>
        <item x="83"/>
        <item x="15"/>
        <item x="20"/>
        <item x="45"/>
        <item x="155"/>
        <item x="242"/>
        <item x="32"/>
        <item x="280"/>
        <item x="265"/>
        <item x="27"/>
        <item x="13"/>
        <item x="39"/>
        <item x="170"/>
        <item x="250"/>
        <item x="60"/>
        <item x="73"/>
        <item x="165"/>
        <item x="48"/>
        <item x="38"/>
        <item x="102"/>
        <item x="186"/>
        <item x="44"/>
        <item x="191"/>
        <item x="87"/>
        <item x="6"/>
        <item x="217"/>
        <item x="97"/>
        <item x="42"/>
        <item x="240"/>
        <item x="128"/>
        <item x="164"/>
        <item x="66"/>
        <item x="196"/>
        <item x="49"/>
        <item x="258"/>
        <item x="262"/>
        <item x="119"/>
        <item x="86"/>
        <item x="50"/>
        <item x="75"/>
        <item x="167"/>
        <item x="158"/>
        <item x="129"/>
        <item x="278"/>
        <item x="82"/>
        <item x="177"/>
        <item x="29"/>
        <item x="54"/>
        <item x="268"/>
        <item x="7"/>
        <item x="107"/>
        <item x="255"/>
        <item x="207"/>
        <item x="124"/>
        <item x="33"/>
        <item x="126"/>
        <item x="205"/>
        <item x="209"/>
        <item x="5"/>
        <item x="4"/>
        <item x="175"/>
        <item x="92"/>
        <item x="127"/>
        <item x="194"/>
        <item x="213"/>
        <item x="156"/>
        <item x="221"/>
        <item x="148"/>
        <item x="10"/>
        <item x="76"/>
        <item x="157"/>
        <item x="52"/>
        <item x="63"/>
        <item x="269"/>
        <item x="228"/>
        <item x="172"/>
        <item x="183"/>
        <item x="232"/>
        <item x="59"/>
        <item x="211"/>
        <item x="264"/>
        <item x="53"/>
        <item x="257"/>
        <item x="226"/>
        <item x="144"/>
        <item x="95"/>
        <item x="91"/>
        <item x="145"/>
        <item x="222"/>
        <item x="61"/>
        <item x="259"/>
        <item x="104"/>
        <item x="140"/>
        <item x="118"/>
        <item x="90"/>
        <item x="187"/>
        <item x="71"/>
        <item x="136"/>
        <item x="159"/>
        <item x="25"/>
        <item x="248"/>
        <item x="24"/>
        <item x="244"/>
        <item x="109"/>
        <item x="256"/>
        <item x="198"/>
        <item x="215"/>
        <item x="254"/>
        <item x="152"/>
        <item x="47"/>
        <item x="81"/>
        <item x="275"/>
        <item x="233"/>
        <item x="150"/>
        <item x="181"/>
        <item x="235"/>
        <item x="138"/>
        <item x="14"/>
        <item x="273"/>
        <item x="199"/>
        <item x="204"/>
        <item x="171"/>
        <item x="130"/>
        <item x="189"/>
        <item x="141"/>
        <item x="1"/>
        <item x="110"/>
        <item x="65"/>
        <item x="80"/>
        <item x="18"/>
        <item x="112"/>
        <item x="46"/>
        <item x="185"/>
        <item x="2"/>
        <item x="122"/>
        <item x="105"/>
        <item x="115"/>
        <item x="26"/>
        <item x="125"/>
        <item x="216"/>
        <item x="180"/>
        <item x="40"/>
        <item x="43"/>
        <item x="272"/>
        <item x="219"/>
        <item x="67"/>
        <item x="116"/>
        <item x="236"/>
        <item x="106"/>
        <item x="58"/>
        <item x="225"/>
        <item x="212"/>
        <item x="99"/>
        <item x="163"/>
        <item x="137"/>
        <item x="160"/>
        <item x="234"/>
        <item x="55"/>
        <item x="131"/>
        <item x="72"/>
        <item x="220"/>
        <item x="123"/>
        <item x="120"/>
        <item x="98"/>
        <item x="0"/>
        <item x="188"/>
        <item x="9"/>
        <item x="166"/>
        <item x="237"/>
        <item x="17"/>
        <item x="23"/>
        <item x="30"/>
        <item x="93"/>
        <item x="246"/>
        <item x="252"/>
        <item x="267"/>
        <item x="41"/>
        <item x="161"/>
        <item x="202"/>
        <item x="149"/>
        <item x="89"/>
        <item x="251"/>
        <item x="103"/>
        <item x="227"/>
        <item x="206"/>
        <item x="101"/>
        <item x="276"/>
        <item x="162"/>
        <item x="36"/>
        <item x="229"/>
        <item x="274"/>
        <item x="263"/>
        <item x="78"/>
        <item x="134"/>
        <item t="default"/>
      </items>
    </pivotField>
    <pivotField showAll="0"/>
    <pivotField showAll="0"/>
    <pivotField showAll="0"/>
    <pivotField showAll="0"/>
    <pivotField axis="axisRow" showAll="0">
      <items count="10">
        <item x="1"/>
        <item x="8"/>
        <item x="0"/>
        <item x="4"/>
        <item x="2"/>
        <item x="3"/>
        <item x="6"/>
        <item x="7"/>
        <item x="5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0204D-DD65-48A3-B668-09165001E7C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3:M17" firstHeaderRow="1" firstDataRow="1" firstDataCol="1"/>
  <pivotFields count="14">
    <pivotField showAll="0"/>
    <pivotField numFmtId="164" showAll="0">
      <items count="282">
        <item x="77"/>
        <item x="173"/>
        <item x="3"/>
        <item x="12"/>
        <item x="69"/>
        <item x="178"/>
        <item x="51"/>
        <item x="245"/>
        <item x="147"/>
        <item x="153"/>
        <item x="154"/>
        <item x="8"/>
        <item x="84"/>
        <item x="100"/>
        <item x="266"/>
        <item x="179"/>
        <item x="88"/>
        <item x="182"/>
        <item x="249"/>
        <item x="113"/>
        <item x="21"/>
        <item x="208"/>
        <item x="108"/>
        <item x="243"/>
        <item x="139"/>
        <item x="174"/>
        <item x="19"/>
        <item x="28"/>
        <item x="195"/>
        <item x="210"/>
        <item x="151"/>
        <item x="135"/>
        <item x="192"/>
        <item x="70"/>
        <item x="197"/>
        <item x="74"/>
        <item x="184"/>
        <item x="169"/>
        <item x="231"/>
        <item x="200"/>
        <item x="223"/>
        <item x="239"/>
        <item x="114"/>
        <item x="168"/>
        <item x="79"/>
        <item x="68"/>
        <item x="176"/>
        <item x="261"/>
        <item x="238"/>
        <item x="279"/>
        <item x="22"/>
        <item x="201"/>
        <item x="85"/>
        <item x="121"/>
        <item x="270"/>
        <item x="190"/>
        <item x="111"/>
        <item x="31"/>
        <item x="146"/>
        <item x="11"/>
        <item x="133"/>
        <item x="214"/>
        <item x="16"/>
        <item x="56"/>
        <item x="241"/>
        <item x="224"/>
        <item x="96"/>
        <item x="35"/>
        <item x="143"/>
        <item x="142"/>
        <item x="230"/>
        <item x="132"/>
        <item x="218"/>
        <item x="57"/>
        <item x="260"/>
        <item x="247"/>
        <item x="117"/>
        <item x="193"/>
        <item x="34"/>
        <item x="62"/>
        <item x="271"/>
        <item x="277"/>
        <item x="64"/>
        <item x="253"/>
        <item x="37"/>
        <item x="94"/>
        <item x="203"/>
        <item x="83"/>
        <item x="15"/>
        <item x="20"/>
        <item x="45"/>
        <item x="155"/>
        <item x="242"/>
        <item x="32"/>
        <item x="280"/>
        <item x="265"/>
        <item x="27"/>
        <item x="13"/>
        <item x="39"/>
        <item x="170"/>
        <item x="250"/>
        <item x="60"/>
        <item x="73"/>
        <item x="165"/>
        <item x="48"/>
        <item x="38"/>
        <item x="102"/>
        <item x="186"/>
        <item x="44"/>
        <item x="191"/>
        <item x="87"/>
        <item x="6"/>
        <item x="217"/>
        <item x="97"/>
        <item x="42"/>
        <item x="240"/>
        <item x="128"/>
        <item x="164"/>
        <item x="66"/>
        <item x="196"/>
        <item x="49"/>
        <item x="258"/>
        <item x="262"/>
        <item x="119"/>
        <item x="86"/>
        <item x="50"/>
        <item x="75"/>
        <item x="167"/>
        <item x="158"/>
        <item x="129"/>
        <item x="278"/>
        <item x="82"/>
        <item x="177"/>
        <item x="29"/>
        <item x="54"/>
        <item x="268"/>
        <item x="7"/>
        <item x="107"/>
        <item x="255"/>
        <item x="207"/>
        <item x="124"/>
        <item x="33"/>
        <item x="126"/>
        <item x="205"/>
        <item x="209"/>
        <item x="5"/>
        <item x="4"/>
        <item x="175"/>
        <item x="92"/>
        <item x="127"/>
        <item x="194"/>
        <item x="213"/>
        <item x="156"/>
        <item x="221"/>
        <item x="148"/>
        <item x="10"/>
        <item x="76"/>
        <item x="157"/>
        <item x="52"/>
        <item x="63"/>
        <item x="269"/>
        <item x="228"/>
        <item x="172"/>
        <item x="183"/>
        <item x="232"/>
        <item x="59"/>
        <item x="211"/>
        <item x="264"/>
        <item x="53"/>
        <item x="257"/>
        <item x="226"/>
        <item x="144"/>
        <item x="95"/>
        <item x="91"/>
        <item x="145"/>
        <item x="222"/>
        <item x="61"/>
        <item x="259"/>
        <item x="104"/>
        <item x="140"/>
        <item x="118"/>
        <item x="90"/>
        <item x="187"/>
        <item x="71"/>
        <item x="136"/>
        <item x="159"/>
        <item x="25"/>
        <item x="248"/>
        <item x="24"/>
        <item x="244"/>
        <item x="109"/>
        <item x="256"/>
        <item x="198"/>
        <item x="215"/>
        <item x="254"/>
        <item x="152"/>
        <item x="47"/>
        <item x="81"/>
        <item x="275"/>
        <item x="233"/>
        <item x="150"/>
        <item x="181"/>
        <item x="235"/>
        <item x="138"/>
        <item x="14"/>
        <item x="273"/>
        <item x="199"/>
        <item x="204"/>
        <item x="171"/>
        <item x="130"/>
        <item x="189"/>
        <item x="141"/>
        <item x="1"/>
        <item x="110"/>
        <item x="65"/>
        <item x="80"/>
        <item x="18"/>
        <item x="112"/>
        <item x="46"/>
        <item x="185"/>
        <item x="2"/>
        <item x="122"/>
        <item x="105"/>
        <item x="115"/>
        <item x="26"/>
        <item x="125"/>
        <item x="216"/>
        <item x="180"/>
        <item x="40"/>
        <item x="43"/>
        <item x="272"/>
        <item x="219"/>
        <item x="67"/>
        <item x="116"/>
        <item x="236"/>
        <item x="106"/>
        <item x="58"/>
        <item x="225"/>
        <item x="212"/>
        <item x="99"/>
        <item x="163"/>
        <item x="137"/>
        <item x="160"/>
        <item x="234"/>
        <item x="55"/>
        <item x="131"/>
        <item x="72"/>
        <item x="220"/>
        <item x="123"/>
        <item x="120"/>
        <item x="98"/>
        <item x="0"/>
        <item x="188"/>
        <item x="9"/>
        <item x="166"/>
        <item x="237"/>
        <item x="17"/>
        <item x="23"/>
        <item x="30"/>
        <item x="93"/>
        <item x="246"/>
        <item x="252"/>
        <item x="267"/>
        <item x="41"/>
        <item x="161"/>
        <item x="202"/>
        <item x="149"/>
        <item x="89"/>
        <item x="251"/>
        <item x="103"/>
        <item x="227"/>
        <item x="206"/>
        <item x="101"/>
        <item x="276"/>
        <item x="162"/>
        <item x="36"/>
        <item x="229"/>
        <item x="274"/>
        <item x="263"/>
        <item x="78"/>
        <item x="134"/>
        <item t="default"/>
      </items>
    </pivotField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2E846-F9C7-4533-BCDF-EB11148FA8D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13:I26" firstHeaderRow="1" firstDataRow="1" firstDataCol="1"/>
  <pivotFields count="14">
    <pivotField showAll="0"/>
    <pivotField axis="axisRow" numFmtId="164" showAll="0">
      <items count="282">
        <item x="77"/>
        <item x="173"/>
        <item x="3"/>
        <item x="12"/>
        <item x="69"/>
        <item x="178"/>
        <item x="51"/>
        <item x="245"/>
        <item x="147"/>
        <item x="153"/>
        <item x="154"/>
        <item x="8"/>
        <item x="84"/>
        <item x="100"/>
        <item x="266"/>
        <item x="179"/>
        <item x="88"/>
        <item x="182"/>
        <item x="249"/>
        <item x="113"/>
        <item x="21"/>
        <item x="208"/>
        <item x="108"/>
        <item x="243"/>
        <item x="139"/>
        <item x="174"/>
        <item x="19"/>
        <item x="28"/>
        <item x="195"/>
        <item x="210"/>
        <item x="151"/>
        <item x="135"/>
        <item x="192"/>
        <item x="70"/>
        <item x="197"/>
        <item x="74"/>
        <item x="184"/>
        <item x="169"/>
        <item x="231"/>
        <item x="200"/>
        <item x="223"/>
        <item x="239"/>
        <item x="114"/>
        <item x="168"/>
        <item x="79"/>
        <item x="68"/>
        <item x="176"/>
        <item x="261"/>
        <item x="238"/>
        <item x="279"/>
        <item x="22"/>
        <item x="201"/>
        <item x="85"/>
        <item x="121"/>
        <item x="270"/>
        <item x="190"/>
        <item x="111"/>
        <item x="31"/>
        <item x="146"/>
        <item x="11"/>
        <item x="133"/>
        <item x="214"/>
        <item x="16"/>
        <item x="56"/>
        <item x="241"/>
        <item x="224"/>
        <item x="96"/>
        <item x="35"/>
        <item x="143"/>
        <item x="142"/>
        <item x="230"/>
        <item x="132"/>
        <item x="218"/>
        <item x="57"/>
        <item x="260"/>
        <item x="247"/>
        <item x="117"/>
        <item x="193"/>
        <item x="34"/>
        <item x="62"/>
        <item x="271"/>
        <item x="277"/>
        <item x="64"/>
        <item x="253"/>
        <item x="37"/>
        <item x="94"/>
        <item x="203"/>
        <item x="83"/>
        <item x="15"/>
        <item x="20"/>
        <item x="45"/>
        <item x="155"/>
        <item x="242"/>
        <item x="32"/>
        <item x="280"/>
        <item x="265"/>
        <item x="27"/>
        <item x="13"/>
        <item x="39"/>
        <item x="170"/>
        <item x="250"/>
        <item x="60"/>
        <item x="73"/>
        <item x="165"/>
        <item x="48"/>
        <item x="38"/>
        <item x="102"/>
        <item x="186"/>
        <item x="44"/>
        <item x="191"/>
        <item x="87"/>
        <item x="6"/>
        <item x="217"/>
        <item x="97"/>
        <item x="42"/>
        <item x="240"/>
        <item x="128"/>
        <item x="164"/>
        <item x="66"/>
        <item x="196"/>
        <item x="49"/>
        <item x="258"/>
        <item x="262"/>
        <item x="119"/>
        <item x="86"/>
        <item x="50"/>
        <item x="75"/>
        <item x="167"/>
        <item x="158"/>
        <item x="129"/>
        <item x="278"/>
        <item x="82"/>
        <item x="177"/>
        <item x="29"/>
        <item x="54"/>
        <item x="268"/>
        <item x="7"/>
        <item x="107"/>
        <item x="255"/>
        <item x="207"/>
        <item x="124"/>
        <item x="33"/>
        <item x="126"/>
        <item x="205"/>
        <item x="209"/>
        <item x="5"/>
        <item x="4"/>
        <item x="175"/>
        <item x="92"/>
        <item x="127"/>
        <item x="194"/>
        <item x="213"/>
        <item x="156"/>
        <item x="221"/>
        <item x="148"/>
        <item x="10"/>
        <item x="76"/>
        <item x="157"/>
        <item x="52"/>
        <item x="63"/>
        <item x="269"/>
        <item x="228"/>
        <item x="172"/>
        <item x="183"/>
        <item x="232"/>
        <item x="59"/>
        <item x="211"/>
        <item x="264"/>
        <item x="53"/>
        <item x="257"/>
        <item x="226"/>
        <item x="144"/>
        <item x="95"/>
        <item x="91"/>
        <item x="145"/>
        <item x="222"/>
        <item x="61"/>
        <item x="259"/>
        <item x="104"/>
        <item x="140"/>
        <item x="118"/>
        <item x="90"/>
        <item x="187"/>
        <item x="71"/>
        <item x="136"/>
        <item x="159"/>
        <item x="25"/>
        <item x="248"/>
        <item x="24"/>
        <item x="244"/>
        <item x="109"/>
        <item x="256"/>
        <item x="198"/>
        <item x="215"/>
        <item x="254"/>
        <item x="152"/>
        <item x="47"/>
        <item x="81"/>
        <item x="275"/>
        <item x="233"/>
        <item x="150"/>
        <item x="181"/>
        <item x="235"/>
        <item x="138"/>
        <item x="14"/>
        <item x="273"/>
        <item x="199"/>
        <item x="204"/>
        <item x="171"/>
        <item x="130"/>
        <item x="189"/>
        <item x="141"/>
        <item x="1"/>
        <item x="110"/>
        <item x="65"/>
        <item x="80"/>
        <item x="18"/>
        <item x="112"/>
        <item x="46"/>
        <item x="185"/>
        <item x="2"/>
        <item x="122"/>
        <item x="105"/>
        <item x="115"/>
        <item x="26"/>
        <item x="125"/>
        <item x="216"/>
        <item x="180"/>
        <item x="40"/>
        <item x="43"/>
        <item x="272"/>
        <item x="219"/>
        <item x="67"/>
        <item x="116"/>
        <item x="236"/>
        <item x="106"/>
        <item x="58"/>
        <item x="225"/>
        <item x="212"/>
        <item x="99"/>
        <item x="163"/>
        <item x="137"/>
        <item x="160"/>
        <item x="234"/>
        <item x="55"/>
        <item x="131"/>
        <item x="72"/>
        <item x="220"/>
        <item x="123"/>
        <item x="120"/>
        <item x="98"/>
        <item x="0"/>
        <item x="188"/>
        <item x="9"/>
        <item x="166"/>
        <item x="237"/>
        <item x="17"/>
        <item x="23"/>
        <item x="30"/>
        <item x="93"/>
        <item x="246"/>
        <item x="252"/>
        <item x="267"/>
        <item x="41"/>
        <item x="161"/>
        <item x="202"/>
        <item x="149"/>
        <item x="89"/>
        <item x="251"/>
        <item x="103"/>
        <item x="227"/>
        <item x="206"/>
        <item x="101"/>
        <item x="276"/>
        <item x="162"/>
        <item x="36"/>
        <item x="229"/>
        <item x="274"/>
        <item x="263"/>
        <item x="78"/>
        <item x="1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2">
    <field x="13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0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455F82-9929-4737-AC2B-60C4CA6C2B4D}" name="SalesData" displayName="SalesData" ref="A1:L501" totalsRowShown="0" headerRowDxfId="3" headerRowBorderDxfId="2" tableBorderDxfId="1">
  <autoFilter ref="A1:L501" xr:uid="{01455F82-9929-4737-AC2B-60C4CA6C2B4D}"/>
  <tableColumns count="12">
    <tableColumn id="1" xr3:uid="{2D80E8C2-2BF7-48EE-B730-0A0978494005}" name="Order ID"/>
    <tableColumn id="2" xr3:uid="{A714FA31-CFE4-4384-903A-3D16048CFFE3}" name="Order Date" dataDxfId="0"/>
    <tableColumn id="3" xr3:uid="{1A4A427B-7F51-4889-A8F1-32D483B8CD1E}" name="Region"/>
    <tableColumn id="4" xr3:uid="{0C3A045D-DD38-461B-BEE5-1F169D71D88C}" name="City"/>
    <tableColumn id="5" xr3:uid="{C512969B-BD6E-4C95-AD5B-80A94B75A884}" name="Segment"/>
    <tableColumn id="6" xr3:uid="{F7D970BD-A82E-40B2-9CCA-D3EBA187FE11}" name="Category"/>
    <tableColumn id="7" xr3:uid="{753D1F44-2098-4624-A815-FE726BC85F37}" name="Sub-Category"/>
    <tableColumn id="8" xr3:uid="{942BF1A6-8B90-450B-AA7B-C1611EAC20A4}" name="Quantity"/>
    <tableColumn id="9" xr3:uid="{F9EE87FF-7D5B-4143-B69F-E31B6585ACBA}" name="Unit Price"/>
    <tableColumn id="10" xr3:uid="{C10B07E0-B677-4027-9C28-4AC9F1F4E1A0}" name="Discount"/>
    <tableColumn id="11" xr3:uid="{497B5164-45EF-4AA2-9BEA-141EE6BC7D88}" name="Sales"/>
    <tableColumn id="12" xr3:uid="{282363D6-5902-4840-ABCC-3C9E4509C84D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workbookViewId="0">
      <pane ySplit="1" topLeftCell="A2" activePane="bottomLeft" state="frozen"/>
      <selection pane="bottomLeft" activeCell="M7" sqref="M7"/>
    </sheetView>
  </sheetViews>
  <sheetFormatPr defaultRowHeight="14.4" x14ac:dyDescent="0.3"/>
  <cols>
    <col min="1" max="1" width="9.88671875" customWidth="1"/>
    <col min="2" max="2" width="18.109375" bestFit="1" customWidth="1"/>
    <col min="3" max="3" width="11.21875" bestFit="1" customWidth="1"/>
    <col min="4" max="4" width="10.44140625" bestFit="1" customWidth="1"/>
    <col min="5" max="5" width="12.88671875" bestFit="1" customWidth="1"/>
    <col min="6" max="6" width="13.109375" bestFit="1" customWidth="1"/>
    <col min="7" max="7" width="16.88671875" bestFit="1" customWidth="1"/>
    <col min="8" max="8" width="12.77734375" bestFit="1" customWidth="1"/>
    <col min="9" max="9" width="13.5546875" bestFit="1" customWidth="1"/>
    <col min="10" max="10" width="12.77734375" bestFit="1" customWidth="1"/>
    <col min="11" max="11" width="9.6640625" bestFit="1" customWidth="1"/>
    <col min="12" max="12" width="10.1093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s="1">
        <v>45985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4</v>
      </c>
      <c r="I2">
        <v>82.68</v>
      </c>
      <c r="J2">
        <v>0</v>
      </c>
      <c r="K2">
        <v>330.72</v>
      </c>
      <c r="L2">
        <v>72.489999999999995</v>
      </c>
    </row>
    <row r="3" spans="1:12" x14ac:dyDescent="0.3">
      <c r="A3" t="s">
        <v>18</v>
      </c>
      <c r="B3" s="1">
        <v>45937</v>
      </c>
      <c r="C3" t="s">
        <v>13</v>
      </c>
      <c r="D3" t="s">
        <v>19</v>
      </c>
      <c r="E3" t="s">
        <v>20</v>
      </c>
      <c r="F3" t="s">
        <v>21</v>
      </c>
      <c r="G3" t="s">
        <v>22</v>
      </c>
      <c r="H3">
        <v>2</v>
      </c>
      <c r="I3">
        <v>121.04</v>
      </c>
      <c r="J3">
        <v>0.2</v>
      </c>
      <c r="K3">
        <v>242.08</v>
      </c>
      <c r="L3">
        <v>26.75</v>
      </c>
    </row>
    <row r="4" spans="1:12" x14ac:dyDescent="0.3">
      <c r="A4" t="s">
        <v>23</v>
      </c>
      <c r="B4" s="1">
        <v>45945</v>
      </c>
      <c r="C4" t="s">
        <v>24</v>
      </c>
      <c r="D4" t="s">
        <v>25</v>
      </c>
      <c r="E4" t="s">
        <v>26</v>
      </c>
      <c r="F4" t="s">
        <v>21</v>
      </c>
      <c r="G4" t="s">
        <v>27</v>
      </c>
      <c r="H4">
        <v>4</v>
      </c>
      <c r="I4">
        <v>232.87</v>
      </c>
      <c r="J4">
        <v>0.1</v>
      </c>
      <c r="K4">
        <v>931.48</v>
      </c>
      <c r="L4">
        <v>193.15</v>
      </c>
    </row>
    <row r="5" spans="1:12" x14ac:dyDescent="0.3">
      <c r="A5" t="s">
        <v>28</v>
      </c>
      <c r="B5" s="1">
        <v>45661</v>
      </c>
      <c r="C5" t="s">
        <v>24</v>
      </c>
      <c r="D5" t="s">
        <v>29</v>
      </c>
      <c r="E5" t="s">
        <v>15</v>
      </c>
      <c r="F5" t="s">
        <v>21</v>
      </c>
      <c r="G5" t="s">
        <v>22</v>
      </c>
      <c r="H5">
        <v>3</v>
      </c>
      <c r="I5">
        <v>119.43</v>
      </c>
      <c r="J5">
        <v>0.1</v>
      </c>
      <c r="K5">
        <v>358.29</v>
      </c>
      <c r="L5">
        <v>10.95</v>
      </c>
    </row>
    <row r="6" spans="1:12" x14ac:dyDescent="0.3">
      <c r="A6" t="s">
        <v>30</v>
      </c>
      <c r="B6" s="1">
        <v>45852</v>
      </c>
      <c r="C6" t="s">
        <v>13</v>
      </c>
      <c r="D6" t="s">
        <v>29</v>
      </c>
      <c r="E6" t="s">
        <v>26</v>
      </c>
      <c r="F6" t="s">
        <v>31</v>
      </c>
      <c r="G6" t="s">
        <v>32</v>
      </c>
      <c r="H6">
        <v>1</v>
      </c>
      <c r="I6">
        <v>368.92</v>
      </c>
      <c r="J6">
        <v>0.2</v>
      </c>
      <c r="K6">
        <v>368.92</v>
      </c>
      <c r="L6">
        <v>-3.24</v>
      </c>
    </row>
    <row r="7" spans="1:12" x14ac:dyDescent="0.3">
      <c r="A7" t="s">
        <v>33</v>
      </c>
      <c r="B7" s="1">
        <v>45851</v>
      </c>
      <c r="C7" t="s">
        <v>13</v>
      </c>
      <c r="D7" t="s">
        <v>34</v>
      </c>
      <c r="E7" t="s">
        <v>26</v>
      </c>
      <c r="F7" t="s">
        <v>21</v>
      </c>
      <c r="G7" t="s">
        <v>22</v>
      </c>
      <c r="H7">
        <v>4</v>
      </c>
      <c r="I7">
        <v>356.72</v>
      </c>
      <c r="J7">
        <v>0</v>
      </c>
      <c r="K7">
        <v>1426.88</v>
      </c>
      <c r="L7">
        <v>307.23</v>
      </c>
    </row>
    <row r="8" spans="1:12" x14ac:dyDescent="0.3">
      <c r="A8" t="s">
        <v>35</v>
      </c>
      <c r="B8" s="1">
        <v>45806</v>
      </c>
      <c r="C8" t="s">
        <v>13</v>
      </c>
      <c r="D8" t="s">
        <v>29</v>
      </c>
      <c r="E8" t="s">
        <v>15</v>
      </c>
      <c r="F8" t="s">
        <v>16</v>
      </c>
      <c r="G8" t="s">
        <v>36</v>
      </c>
      <c r="H8">
        <v>8</v>
      </c>
      <c r="I8">
        <v>323.31</v>
      </c>
      <c r="J8">
        <v>0.1</v>
      </c>
      <c r="K8">
        <v>2586.48</v>
      </c>
      <c r="L8">
        <v>118.11</v>
      </c>
    </row>
    <row r="9" spans="1:12" x14ac:dyDescent="0.3">
      <c r="A9" t="s">
        <v>37</v>
      </c>
      <c r="B9" s="1">
        <v>45839</v>
      </c>
      <c r="C9" t="s">
        <v>24</v>
      </c>
      <c r="D9" t="s">
        <v>38</v>
      </c>
      <c r="E9" t="s">
        <v>26</v>
      </c>
      <c r="F9" t="s">
        <v>21</v>
      </c>
      <c r="G9" t="s">
        <v>22</v>
      </c>
      <c r="H9">
        <v>3</v>
      </c>
      <c r="I9">
        <v>274.06</v>
      </c>
      <c r="J9">
        <v>0.05</v>
      </c>
      <c r="K9">
        <v>822.18</v>
      </c>
      <c r="L9">
        <v>56.2</v>
      </c>
    </row>
    <row r="10" spans="1:12" x14ac:dyDescent="0.3">
      <c r="A10" t="s">
        <v>39</v>
      </c>
      <c r="B10" s="1">
        <v>45852</v>
      </c>
      <c r="C10" t="s">
        <v>40</v>
      </c>
      <c r="D10" t="s">
        <v>14</v>
      </c>
      <c r="E10" t="s">
        <v>26</v>
      </c>
      <c r="F10" t="s">
        <v>21</v>
      </c>
      <c r="G10" t="s">
        <v>27</v>
      </c>
      <c r="H10">
        <v>6</v>
      </c>
      <c r="I10">
        <v>423.78</v>
      </c>
      <c r="J10">
        <v>0</v>
      </c>
      <c r="K10">
        <v>2542.6799999999998</v>
      </c>
      <c r="L10">
        <v>272.73</v>
      </c>
    </row>
    <row r="11" spans="1:12" x14ac:dyDescent="0.3">
      <c r="A11" t="s">
        <v>41</v>
      </c>
      <c r="B11" s="1">
        <v>45674</v>
      </c>
      <c r="C11" t="s">
        <v>40</v>
      </c>
      <c r="D11" t="s">
        <v>14</v>
      </c>
      <c r="E11" t="s">
        <v>20</v>
      </c>
      <c r="F11" t="s">
        <v>31</v>
      </c>
      <c r="G11" t="s">
        <v>32</v>
      </c>
      <c r="H11">
        <v>6</v>
      </c>
      <c r="I11">
        <v>118.12</v>
      </c>
      <c r="J11">
        <v>0.15</v>
      </c>
      <c r="K11">
        <v>708.72</v>
      </c>
      <c r="L11">
        <v>57.7</v>
      </c>
    </row>
    <row r="12" spans="1:12" x14ac:dyDescent="0.3">
      <c r="A12" t="s">
        <v>42</v>
      </c>
      <c r="B12" s="1">
        <v>45987</v>
      </c>
      <c r="C12" t="s">
        <v>43</v>
      </c>
      <c r="D12" t="s">
        <v>14</v>
      </c>
      <c r="E12" t="s">
        <v>20</v>
      </c>
      <c r="F12" t="s">
        <v>16</v>
      </c>
      <c r="G12" t="s">
        <v>44</v>
      </c>
      <c r="H12">
        <v>5</v>
      </c>
      <c r="I12">
        <v>377.3</v>
      </c>
      <c r="J12">
        <v>0.15</v>
      </c>
      <c r="K12">
        <v>1886.5</v>
      </c>
      <c r="L12">
        <v>390.42</v>
      </c>
    </row>
    <row r="13" spans="1:12" x14ac:dyDescent="0.3">
      <c r="A13" t="s">
        <v>45</v>
      </c>
      <c r="B13" s="1">
        <v>45862</v>
      </c>
      <c r="C13" t="s">
        <v>40</v>
      </c>
      <c r="D13" t="s">
        <v>46</v>
      </c>
      <c r="E13" t="s">
        <v>26</v>
      </c>
      <c r="F13" t="s">
        <v>16</v>
      </c>
      <c r="G13" t="s">
        <v>36</v>
      </c>
      <c r="H13">
        <v>2</v>
      </c>
      <c r="I13">
        <v>381.55</v>
      </c>
      <c r="J13">
        <v>0</v>
      </c>
      <c r="K13">
        <v>763.1</v>
      </c>
      <c r="L13">
        <v>67.31</v>
      </c>
    </row>
    <row r="14" spans="1:12" x14ac:dyDescent="0.3">
      <c r="A14" t="s">
        <v>47</v>
      </c>
      <c r="B14" s="1">
        <v>45739</v>
      </c>
      <c r="C14" t="s">
        <v>43</v>
      </c>
      <c r="D14" t="s">
        <v>25</v>
      </c>
      <c r="E14" t="s">
        <v>15</v>
      </c>
      <c r="F14" t="s">
        <v>21</v>
      </c>
      <c r="G14" t="s">
        <v>48</v>
      </c>
      <c r="H14">
        <v>8</v>
      </c>
      <c r="I14">
        <v>271.62</v>
      </c>
      <c r="J14">
        <v>0.2</v>
      </c>
      <c r="K14">
        <v>2172.96</v>
      </c>
      <c r="L14">
        <v>380.69</v>
      </c>
    </row>
    <row r="15" spans="1:12" x14ac:dyDescent="0.3">
      <c r="A15" t="s">
        <v>49</v>
      </c>
      <c r="B15" s="1">
        <v>45663</v>
      </c>
      <c r="C15" t="s">
        <v>13</v>
      </c>
      <c r="D15" t="s">
        <v>34</v>
      </c>
      <c r="E15" t="s">
        <v>15</v>
      </c>
      <c r="F15" t="s">
        <v>21</v>
      </c>
      <c r="G15" t="s">
        <v>27</v>
      </c>
      <c r="H15">
        <v>2</v>
      </c>
      <c r="I15">
        <v>157.35</v>
      </c>
      <c r="J15">
        <v>0.05</v>
      </c>
      <c r="K15">
        <v>314.7</v>
      </c>
      <c r="L15">
        <v>44.35</v>
      </c>
    </row>
    <row r="16" spans="1:12" x14ac:dyDescent="0.3">
      <c r="A16" t="s">
        <v>50</v>
      </c>
      <c r="B16" s="1">
        <v>45792</v>
      </c>
      <c r="C16" t="s">
        <v>24</v>
      </c>
      <c r="D16" t="s">
        <v>29</v>
      </c>
      <c r="E16" t="s">
        <v>26</v>
      </c>
      <c r="F16" t="s">
        <v>21</v>
      </c>
      <c r="G16" t="s">
        <v>48</v>
      </c>
      <c r="H16">
        <v>4</v>
      </c>
      <c r="I16">
        <v>89.13</v>
      </c>
      <c r="J16">
        <v>0.05</v>
      </c>
      <c r="K16">
        <v>356.52</v>
      </c>
      <c r="L16">
        <v>57.88</v>
      </c>
    </row>
    <row r="17" spans="1:12" x14ac:dyDescent="0.3">
      <c r="A17" t="s">
        <v>51</v>
      </c>
      <c r="B17" s="1">
        <v>45929</v>
      </c>
      <c r="C17" t="s">
        <v>13</v>
      </c>
      <c r="D17" t="s">
        <v>19</v>
      </c>
      <c r="E17" t="s">
        <v>15</v>
      </c>
      <c r="F17" t="s">
        <v>21</v>
      </c>
      <c r="G17" t="s">
        <v>22</v>
      </c>
      <c r="H17">
        <v>2</v>
      </c>
      <c r="I17">
        <v>465.61</v>
      </c>
      <c r="J17">
        <v>0.1</v>
      </c>
      <c r="K17">
        <v>931.22</v>
      </c>
      <c r="L17">
        <v>60.4</v>
      </c>
    </row>
    <row r="18" spans="1:12" x14ac:dyDescent="0.3">
      <c r="A18" t="s">
        <v>52</v>
      </c>
      <c r="B18" s="1">
        <v>45781</v>
      </c>
      <c r="C18" t="s">
        <v>13</v>
      </c>
      <c r="D18" t="s">
        <v>38</v>
      </c>
      <c r="E18" t="s">
        <v>15</v>
      </c>
      <c r="F18" t="s">
        <v>16</v>
      </c>
      <c r="G18" t="s">
        <v>17</v>
      </c>
      <c r="H18">
        <v>3</v>
      </c>
      <c r="I18">
        <v>77.27</v>
      </c>
      <c r="J18">
        <v>0.15</v>
      </c>
      <c r="K18">
        <v>231.81</v>
      </c>
      <c r="L18">
        <v>50.82</v>
      </c>
    </row>
    <row r="19" spans="1:12" x14ac:dyDescent="0.3">
      <c r="A19" t="s">
        <v>53</v>
      </c>
      <c r="B19" s="1">
        <v>45742</v>
      </c>
      <c r="C19" t="s">
        <v>40</v>
      </c>
      <c r="D19" t="s">
        <v>14</v>
      </c>
      <c r="E19" t="s">
        <v>15</v>
      </c>
      <c r="F19" t="s">
        <v>21</v>
      </c>
      <c r="G19" t="s">
        <v>27</v>
      </c>
      <c r="H19">
        <v>4</v>
      </c>
      <c r="I19">
        <v>360.78</v>
      </c>
      <c r="J19">
        <v>0.15</v>
      </c>
      <c r="K19">
        <v>1443.12</v>
      </c>
      <c r="L19">
        <v>333.78</v>
      </c>
    </row>
    <row r="20" spans="1:12" x14ac:dyDescent="0.3">
      <c r="A20" t="s">
        <v>54</v>
      </c>
      <c r="B20" s="1">
        <v>45990</v>
      </c>
      <c r="C20" t="s">
        <v>40</v>
      </c>
      <c r="D20" t="s">
        <v>38</v>
      </c>
      <c r="E20" t="s">
        <v>15</v>
      </c>
      <c r="F20" t="s">
        <v>31</v>
      </c>
      <c r="G20" t="s">
        <v>55</v>
      </c>
      <c r="H20">
        <v>4</v>
      </c>
      <c r="I20">
        <v>123.98</v>
      </c>
      <c r="J20">
        <v>0.1</v>
      </c>
      <c r="K20">
        <v>495.92</v>
      </c>
      <c r="L20">
        <v>5.09</v>
      </c>
    </row>
    <row r="21" spans="1:12" x14ac:dyDescent="0.3">
      <c r="A21" t="s">
        <v>56</v>
      </c>
      <c r="B21" s="1">
        <v>45941</v>
      </c>
      <c r="C21" t="s">
        <v>24</v>
      </c>
      <c r="D21" t="s">
        <v>38</v>
      </c>
      <c r="E21" t="s">
        <v>20</v>
      </c>
      <c r="F21" t="s">
        <v>21</v>
      </c>
      <c r="G21" t="s">
        <v>48</v>
      </c>
      <c r="H21">
        <v>1</v>
      </c>
      <c r="I21">
        <v>126.04</v>
      </c>
      <c r="J21">
        <v>0</v>
      </c>
      <c r="K21">
        <v>126.04</v>
      </c>
      <c r="L21">
        <v>33.39</v>
      </c>
    </row>
    <row r="22" spans="1:12" x14ac:dyDescent="0.3">
      <c r="A22" t="s">
        <v>57</v>
      </c>
      <c r="B22" s="1">
        <v>45694</v>
      </c>
      <c r="C22" t="s">
        <v>24</v>
      </c>
      <c r="D22" t="s">
        <v>14</v>
      </c>
      <c r="E22" t="s">
        <v>15</v>
      </c>
      <c r="F22" t="s">
        <v>31</v>
      </c>
      <c r="G22" t="s">
        <v>55</v>
      </c>
      <c r="H22">
        <v>3</v>
      </c>
      <c r="I22">
        <v>365.83</v>
      </c>
      <c r="J22">
        <v>0.2</v>
      </c>
      <c r="K22">
        <v>1097.49</v>
      </c>
      <c r="L22">
        <v>114.2</v>
      </c>
    </row>
    <row r="23" spans="1:12" x14ac:dyDescent="0.3">
      <c r="A23" t="s">
        <v>58</v>
      </c>
      <c r="B23" s="1">
        <v>45782</v>
      </c>
      <c r="C23" t="s">
        <v>43</v>
      </c>
      <c r="D23" t="s">
        <v>38</v>
      </c>
      <c r="E23" t="s">
        <v>20</v>
      </c>
      <c r="F23" t="s">
        <v>31</v>
      </c>
      <c r="G23" t="s">
        <v>59</v>
      </c>
      <c r="H23">
        <v>7</v>
      </c>
      <c r="I23">
        <v>186.83</v>
      </c>
      <c r="J23">
        <v>0.15</v>
      </c>
      <c r="K23">
        <v>1307.81</v>
      </c>
      <c r="L23">
        <v>129.81</v>
      </c>
    </row>
    <row r="24" spans="1:12" x14ac:dyDescent="0.3">
      <c r="A24" t="s">
        <v>60</v>
      </c>
      <c r="B24" s="1">
        <v>45685</v>
      </c>
      <c r="C24" t="s">
        <v>13</v>
      </c>
      <c r="D24" t="s">
        <v>34</v>
      </c>
      <c r="E24" t="s">
        <v>26</v>
      </c>
      <c r="F24" t="s">
        <v>16</v>
      </c>
      <c r="G24" t="s">
        <v>44</v>
      </c>
      <c r="H24">
        <v>2</v>
      </c>
      <c r="I24">
        <v>135.6</v>
      </c>
      <c r="J24">
        <v>0.05</v>
      </c>
      <c r="K24">
        <v>271.2</v>
      </c>
      <c r="L24">
        <v>43.82</v>
      </c>
    </row>
    <row r="25" spans="1:12" x14ac:dyDescent="0.3">
      <c r="A25" t="s">
        <v>61</v>
      </c>
      <c r="B25" s="1">
        <v>45729</v>
      </c>
      <c r="C25" t="s">
        <v>43</v>
      </c>
      <c r="D25" t="s">
        <v>14</v>
      </c>
      <c r="E25" t="s">
        <v>15</v>
      </c>
      <c r="F25" t="s">
        <v>16</v>
      </c>
      <c r="G25" t="s">
        <v>44</v>
      </c>
      <c r="H25">
        <v>2</v>
      </c>
      <c r="I25">
        <v>229.92</v>
      </c>
      <c r="J25">
        <v>0.2</v>
      </c>
      <c r="K25">
        <v>459.84</v>
      </c>
      <c r="L25">
        <v>-7.14</v>
      </c>
    </row>
    <row r="26" spans="1:12" x14ac:dyDescent="0.3">
      <c r="A26" t="s">
        <v>62</v>
      </c>
      <c r="B26" s="1">
        <v>45991</v>
      </c>
      <c r="C26" t="s">
        <v>13</v>
      </c>
      <c r="D26" t="s">
        <v>25</v>
      </c>
      <c r="E26" t="s">
        <v>20</v>
      </c>
      <c r="F26" t="s">
        <v>16</v>
      </c>
      <c r="G26" t="s">
        <v>36</v>
      </c>
      <c r="H26">
        <v>8</v>
      </c>
      <c r="I26">
        <v>248.46</v>
      </c>
      <c r="J26">
        <v>0.15</v>
      </c>
      <c r="K26">
        <v>1987.68</v>
      </c>
      <c r="L26">
        <v>413.66</v>
      </c>
    </row>
    <row r="27" spans="1:12" x14ac:dyDescent="0.3">
      <c r="A27" t="s">
        <v>63</v>
      </c>
      <c r="B27" s="1">
        <v>45742</v>
      </c>
      <c r="C27" t="s">
        <v>43</v>
      </c>
      <c r="D27" t="s">
        <v>46</v>
      </c>
      <c r="E27" t="s">
        <v>15</v>
      </c>
      <c r="F27" t="s">
        <v>16</v>
      </c>
      <c r="G27" t="s">
        <v>44</v>
      </c>
      <c r="H27">
        <v>5</v>
      </c>
      <c r="I27">
        <v>220.16</v>
      </c>
      <c r="J27">
        <v>0.2</v>
      </c>
      <c r="K27">
        <v>1100.8</v>
      </c>
      <c r="L27">
        <v>138.11000000000001</v>
      </c>
    </row>
    <row r="28" spans="1:12" x14ac:dyDescent="0.3">
      <c r="A28" t="s">
        <v>64</v>
      </c>
      <c r="B28" s="1">
        <v>45907</v>
      </c>
      <c r="C28" t="s">
        <v>24</v>
      </c>
      <c r="D28" t="s">
        <v>19</v>
      </c>
      <c r="E28" t="s">
        <v>20</v>
      </c>
      <c r="F28" t="s">
        <v>16</v>
      </c>
      <c r="G28" t="s">
        <v>44</v>
      </c>
      <c r="H28">
        <v>1</v>
      </c>
      <c r="I28">
        <v>377.77</v>
      </c>
      <c r="J28">
        <v>0</v>
      </c>
      <c r="K28">
        <v>377.77</v>
      </c>
      <c r="L28">
        <v>23.62</v>
      </c>
    </row>
    <row r="29" spans="1:12" x14ac:dyDescent="0.3">
      <c r="A29" t="s">
        <v>65</v>
      </c>
      <c r="B29" s="1">
        <v>45902</v>
      </c>
      <c r="C29" t="s">
        <v>24</v>
      </c>
      <c r="D29" t="s">
        <v>66</v>
      </c>
      <c r="E29" t="s">
        <v>20</v>
      </c>
      <c r="F29" t="s">
        <v>16</v>
      </c>
      <c r="G29" t="s">
        <v>17</v>
      </c>
      <c r="H29">
        <v>2</v>
      </c>
      <c r="I29">
        <v>303.58999999999997</v>
      </c>
      <c r="J29">
        <v>0.05</v>
      </c>
      <c r="K29">
        <v>607.17999999999995</v>
      </c>
      <c r="L29">
        <v>77.989999999999995</v>
      </c>
    </row>
    <row r="30" spans="1:12" x14ac:dyDescent="0.3">
      <c r="A30" t="s">
        <v>67</v>
      </c>
      <c r="B30" s="1">
        <v>45949</v>
      </c>
      <c r="C30" t="s">
        <v>24</v>
      </c>
      <c r="D30" t="s">
        <v>38</v>
      </c>
      <c r="E30" t="s">
        <v>20</v>
      </c>
      <c r="F30" t="s">
        <v>21</v>
      </c>
      <c r="G30" t="s">
        <v>27</v>
      </c>
      <c r="H30">
        <v>7</v>
      </c>
      <c r="I30">
        <v>333.83</v>
      </c>
      <c r="J30">
        <v>0.2</v>
      </c>
      <c r="K30">
        <v>2336.81</v>
      </c>
      <c r="L30">
        <v>211.94</v>
      </c>
    </row>
    <row r="31" spans="1:12" x14ac:dyDescent="0.3">
      <c r="A31" t="s">
        <v>68</v>
      </c>
      <c r="B31" s="1">
        <v>45791</v>
      </c>
      <c r="C31" t="s">
        <v>24</v>
      </c>
      <c r="D31" t="s">
        <v>14</v>
      </c>
      <c r="E31" t="s">
        <v>15</v>
      </c>
      <c r="F31" t="s">
        <v>21</v>
      </c>
      <c r="G31" t="s">
        <v>27</v>
      </c>
      <c r="H31">
        <v>5</v>
      </c>
      <c r="I31">
        <v>206.96</v>
      </c>
      <c r="J31">
        <v>0.1</v>
      </c>
      <c r="K31">
        <v>1034.8</v>
      </c>
      <c r="L31">
        <v>123.46</v>
      </c>
    </row>
    <row r="32" spans="1:12" x14ac:dyDescent="0.3">
      <c r="A32" t="s">
        <v>69</v>
      </c>
      <c r="B32" s="1">
        <v>45695</v>
      </c>
      <c r="C32" t="s">
        <v>13</v>
      </c>
      <c r="D32" t="s">
        <v>38</v>
      </c>
      <c r="E32" t="s">
        <v>26</v>
      </c>
      <c r="F32" t="s">
        <v>31</v>
      </c>
      <c r="G32" t="s">
        <v>55</v>
      </c>
      <c r="H32">
        <v>2</v>
      </c>
      <c r="I32">
        <v>275.75</v>
      </c>
      <c r="J32">
        <v>0.2</v>
      </c>
      <c r="K32">
        <v>551.5</v>
      </c>
      <c r="L32">
        <v>14.5</v>
      </c>
    </row>
    <row r="33" spans="1:12" x14ac:dyDescent="0.3">
      <c r="A33" t="s">
        <v>70</v>
      </c>
      <c r="B33" s="1">
        <v>45836</v>
      </c>
      <c r="C33" t="s">
        <v>13</v>
      </c>
      <c r="D33" t="s">
        <v>66</v>
      </c>
      <c r="E33" t="s">
        <v>15</v>
      </c>
      <c r="F33" t="s">
        <v>16</v>
      </c>
      <c r="G33" t="s">
        <v>44</v>
      </c>
      <c r="H33">
        <v>8</v>
      </c>
      <c r="I33">
        <v>419.37</v>
      </c>
      <c r="J33">
        <v>0.1</v>
      </c>
      <c r="K33">
        <v>3354.96</v>
      </c>
      <c r="L33">
        <v>529.80999999999995</v>
      </c>
    </row>
    <row r="34" spans="1:12" x14ac:dyDescent="0.3">
      <c r="A34" t="s">
        <v>71</v>
      </c>
      <c r="B34" s="1">
        <v>45992</v>
      </c>
      <c r="C34" t="s">
        <v>13</v>
      </c>
      <c r="D34" t="s">
        <v>38</v>
      </c>
      <c r="E34" t="s">
        <v>15</v>
      </c>
      <c r="F34" t="s">
        <v>21</v>
      </c>
      <c r="G34" t="s">
        <v>27</v>
      </c>
      <c r="H34">
        <v>3</v>
      </c>
      <c r="I34">
        <v>143.27000000000001</v>
      </c>
      <c r="J34">
        <v>0</v>
      </c>
      <c r="K34">
        <v>429.81</v>
      </c>
      <c r="L34">
        <v>101.27</v>
      </c>
    </row>
    <row r="35" spans="1:12" x14ac:dyDescent="0.3">
      <c r="A35" t="s">
        <v>72</v>
      </c>
      <c r="B35" s="1">
        <v>45737</v>
      </c>
      <c r="C35" t="s">
        <v>40</v>
      </c>
      <c r="D35" t="s">
        <v>34</v>
      </c>
      <c r="E35" t="s">
        <v>20</v>
      </c>
      <c r="F35" t="s">
        <v>31</v>
      </c>
      <c r="G35" t="s">
        <v>55</v>
      </c>
      <c r="H35">
        <v>4</v>
      </c>
      <c r="I35">
        <v>348.44</v>
      </c>
      <c r="J35">
        <v>0.1</v>
      </c>
      <c r="K35">
        <v>1393.76</v>
      </c>
      <c r="L35">
        <v>183.07</v>
      </c>
    </row>
    <row r="36" spans="1:12" x14ac:dyDescent="0.3">
      <c r="A36" t="s">
        <v>73</v>
      </c>
      <c r="B36" s="1">
        <v>45786</v>
      </c>
      <c r="C36" t="s">
        <v>13</v>
      </c>
      <c r="D36" t="s">
        <v>29</v>
      </c>
      <c r="E36" t="s">
        <v>15</v>
      </c>
      <c r="F36" t="s">
        <v>16</v>
      </c>
      <c r="G36" t="s">
        <v>17</v>
      </c>
      <c r="H36">
        <v>1</v>
      </c>
      <c r="I36">
        <v>16.72</v>
      </c>
      <c r="J36">
        <v>0.05</v>
      </c>
      <c r="K36">
        <v>16.72</v>
      </c>
      <c r="L36">
        <v>3.12</v>
      </c>
    </row>
    <row r="37" spans="1:12" x14ac:dyDescent="0.3">
      <c r="A37" t="s">
        <v>74</v>
      </c>
      <c r="B37" s="1">
        <v>45792</v>
      </c>
      <c r="C37" t="s">
        <v>24</v>
      </c>
      <c r="D37" t="s">
        <v>25</v>
      </c>
      <c r="E37" t="s">
        <v>26</v>
      </c>
      <c r="F37" t="s">
        <v>21</v>
      </c>
      <c r="G37" t="s">
        <v>22</v>
      </c>
      <c r="H37">
        <v>1</v>
      </c>
      <c r="I37">
        <v>69.260000000000005</v>
      </c>
      <c r="J37">
        <v>0.05</v>
      </c>
      <c r="K37">
        <v>69.260000000000005</v>
      </c>
      <c r="L37">
        <v>11.35</v>
      </c>
    </row>
    <row r="38" spans="1:12" x14ac:dyDescent="0.3">
      <c r="A38" t="s">
        <v>75</v>
      </c>
      <c r="B38" s="1">
        <v>45847</v>
      </c>
      <c r="C38" t="s">
        <v>24</v>
      </c>
      <c r="D38" t="s">
        <v>29</v>
      </c>
      <c r="E38" t="s">
        <v>20</v>
      </c>
      <c r="F38" t="s">
        <v>31</v>
      </c>
      <c r="G38" t="s">
        <v>59</v>
      </c>
      <c r="H38">
        <v>6</v>
      </c>
      <c r="I38">
        <v>451.01</v>
      </c>
      <c r="J38">
        <v>0</v>
      </c>
      <c r="K38">
        <v>2706.06</v>
      </c>
      <c r="L38">
        <v>743.44</v>
      </c>
    </row>
    <row r="39" spans="1:12" x14ac:dyDescent="0.3">
      <c r="A39" t="s">
        <v>76</v>
      </c>
      <c r="B39" s="1">
        <v>45765</v>
      </c>
      <c r="C39" t="s">
        <v>24</v>
      </c>
      <c r="D39" t="s">
        <v>25</v>
      </c>
      <c r="E39" t="s">
        <v>15</v>
      </c>
      <c r="F39" t="s">
        <v>21</v>
      </c>
      <c r="G39" t="s">
        <v>48</v>
      </c>
      <c r="H39">
        <v>3</v>
      </c>
      <c r="I39">
        <v>464</v>
      </c>
      <c r="J39">
        <v>0.05</v>
      </c>
      <c r="K39">
        <v>1392</v>
      </c>
      <c r="L39">
        <v>339.16</v>
      </c>
    </row>
    <row r="40" spans="1:12" x14ac:dyDescent="0.3">
      <c r="A40" t="s">
        <v>77</v>
      </c>
      <c r="B40" s="1">
        <v>45748</v>
      </c>
      <c r="C40" t="s">
        <v>43</v>
      </c>
      <c r="D40" t="s">
        <v>34</v>
      </c>
      <c r="E40" t="s">
        <v>26</v>
      </c>
      <c r="F40" t="s">
        <v>16</v>
      </c>
      <c r="G40" t="s">
        <v>36</v>
      </c>
      <c r="H40">
        <v>7</v>
      </c>
      <c r="I40">
        <v>404.08</v>
      </c>
      <c r="J40">
        <v>0.05</v>
      </c>
      <c r="K40">
        <v>2828.56</v>
      </c>
      <c r="L40">
        <v>266.45</v>
      </c>
    </row>
    <row r="41" spans="1:12" x14ac:dyDescent="0.3">
      <c r="A41" t="s">
        <v>78</v>
      </c>
      <c r="B41" s="1">
        <v>46017</v>
      </c>
      <c r="C41" t="s">
        <v>13</v>
      </c>
      <c r="D41" t="s">
        <v>14</v>
      </c>
      <c r="E41" t="s">
        <v>15</v>
      </c>
      <c r="F41" t="s">
        <v>31</v>
      </c>
      <c r="G41" t="s">
        <v>59</v>
      </c>
      <c r="H41">
        <v>4</v>
      </c>
      <c r="I41">
        <v>411.04</v>
      </c>
      <c r="J41">
        <v>0.15</v>
      </c>
      <c r="K41">
        <v>1644.16</v>
      </c>
      <c r="L41">
        <v>114.95</v>
      </c>
    </row>
    <row r="42" spans="1:12" x14ac:dyDescent="0.3">
      <c r="A42" t="s">
        <v>79</v>
      </c>
      <c r="B42" s="1">
        <v>45774</v>
      </c>
      <c r="C42" t="s">
        <v>24</v>
      </c>
      <c r="D42" t="s">
        <v>25</v>
      </c>
      <c r="E42" t="s">
        <v>20</v>
      </c>
      <c r="F42" t="s">
        <v>16</v>
      </c>
      <c r="G42" t="s">
        <v>17</v>
      </c>
      <c r="H42">
        <v>6</v>
      </c>
      <c r="I42">
        <v>150.12</v>
      </c>
      <c r="J42">
        <v>0</v>
      </c>
      <c r="K42">
        <v>900.72</v>
      </c>
      <c r="L42">
        <v>262.76</v>
      </c>
    </row>
    <row r="43" spans="1:12" x14ac:dyDescent="0.3">
      <c r="A43" t="s">
        <v>80</v>
      </c>
      <c r="B43" s="1">
        <v>45800</v>
      </c>
      <c r="C43" t="s">
        <v>40</v>
      </c>
      <c r="D43" t="s">
        <v>34</v>
      </c>
      <c r="E43" t="s">
        <v>15</v>
      </c>
      <c r="F43" t="s">
        <v>21</v>
      </c>
      <c r="G43" t="s">
        <v>27</v>
      </c>
      <c r="H43">
        <v>1</v>
      </c>
      <c r="I43">
        <v>70.94</v>
      </c>
      <c r="J43">
        <v>0.1</v>
      </c>
      <c r="K43">
        <v>70.94</v>
      </c>
      <c r="L43">
        <v>3.52</v>
      </c>
    </row>
    <row r="44" spans="1:12" x14ac:dyDescent="0.3">
      <c r="A44" t="s">
        <v>81</v>
      </c>
      <c r="B44" s="1">
        <v>45793</v>
      </c>
      <c r="C44" t="s">
        <v>13</v>
      </c>
      <c r="D44" t="s">
        <v>34</v>
      </c>
      <c r="E44" t="s">
        <v>15</v>
      </c>
      <c r="F44" t="s">
        <v>16</v>
      </c>
      <c r="G44" t="s">
        <v>17</v>
      </c>
      <c r="H44">
        <v>6</v>
      </c>
      <c r="I44">
        <v>226.65</v>
      </c>
      <c r="J44">
        <v>0.2</v>
      </c>
      <c r="K44">
        <v>1359.9</v>
      </c>
      <c r="L44">
        <v>-15.08</v>
      </c>
    </row>
    <row r="45" spans="1:12" x14ac:dyDescent="0.3">
      <c r="A45" t="s">
        <v>82</v>
      </c>
      <c r="B45" s="1">
        <v>45953</v>
      </c>
      <c r="C45" t="s">
        <v>24</v>
      </c>
      <c r="D45" t="s">
        <v>25</v>
      </c>
      <c r="E45" t="s">
        <v>26</v>
      </c>
      <c r="F45" t="s">
        <v>31</v>
      </c>
      <c r="G45" t="s">
        <v>59</v>
      </c>
      <c r="H45">
        <v>1</v>
      </c>
      <c r="I45">
        <v>267.16000000000003</v>
      </c>
      <c r="J45">
        <v>0.2</v>
      </c>
      <c r="K45">
        <v>267.16000000000003</v>
      </c>
      <c r="L45">
        <v>35.19</v>
      </c>
    </row>
    <row r="46" spans="1:12" x14ac:dyDescent="0.3">
      <c r="A46" t="s">
        <v>83</v>
      </c>
      <c r="B46" s="1">
        <v>46001</v>
      </c>
      <c r="C46" t="s">
        <v>24</v>
      </c>
      <c r="D46" t="s">
        <v>34</v>
      </c>
      <c r="E46" t="s">
        <v>20</v>
      </c>
      <c r="F46" t="s">
        <v>31</v>
      </c>
      <c r="G46" t="s">
        <v>32</v>
      </c>
      <c r="H46">
        <v>6</v>
      </c>
      <c r="I46">
        <v>336.74</v>
      </c>
      <c r="J46">
        <v>0</v>
      </c>
      <c r="K46">
        <v>2020.44</v>
      </c>
      <c r="L46">
        <v>464.58</v>
      </c>
    </row>
    <row r="47" spans="1:12" x14ac:dyDescent="0.3">
      <c r="A47" t="s">
        <v>84</v>
      </c>
      <c r="B47" s="1">
        <v>45811</v>
      </c>
      <c r="C47" t="s">
        <v>40</v>
      </c>
      <c r="D47" t="s">
        <v>25</v>
      </c>
      <c r="E47" t="s">
        <v>15</v>
      </c>
      <c r="F47" t="s">
        <v>21</v>
      </c>
      <c r="G47" t="s">
        <v>22</v>
      </c>
      <c r="H47">
        <v>5</v>
      </c>
      <c r="I47">
        <v>283.89</v>
      </c>
      <c r="J47">
        <v>0.05</v>
      </c>
      <c r="K47">
        <v>1419.45</v>
      </c>
      <c r="L47">
        <v>188.24</v>
      </c>
    </row>
    <row r="48" spans="1:12" x14ac:dyDescent="0.3">
      <c r="A48" t="s">
        <v>85</v>
      </c>
      <c r="B48" s="1">
        <v>45852</v>
      </c>
      <c r="C48" t="s">
        <v>24</v>
      </c>
      <c r="D48" t="s">
        <v>25</v>
      </c>
      <c r="E48" t="s">
        <v>15</v>
      </c>
      <c r="F48" t="s">
        <v>21</v>
      </c>
      <c r="G48" t="s">
        <v>27</v>
      </c>
      <c r="H48">
        <v>1</v>
      </c>
      <c r="I48">
        <v>162.38</v>
      </c>
      <c r="J48">
        <v>0.05</v>
      </c>
      <c r="K48">
        <v>162.38</v>
      </c>
      <c r="L48">
        <v>21.92</v>
      </c>
    </row>
    <row r="49" spans="1:12" x14ac:dyDescent="0.3">
      <c r="A49" t="s">
        <v>86</v>
      </c>
      <c r="B49" s="1">
        <v>45954</v>
      </c>
      <c r="C49" t="s">
        <v>40</v>
      </c>
      <c r="D49" t="s">
        <v>14</v>
      </c>
      <c r="E49" t="s">
        <v>15</v>
      </c>
      <c r="F49" t="s">
        <v>31</v>
      </c>
      <c r="G49" t="s">
        <v>32</v>
      </c>
      <c r="H49">
        <v>8</v>
      </c>
      <c r="I49">
        <v>399.96</v>
      </c>
      <c r="J49">
        <v>0.05</v>
      </c>
      <c r="K49">
        <v>3199.68</v>
      </c>
      <c r="L49">
        <v>615.02</v>
      </c>
    </row>
    <row r="50" spans="1:12" x14ac:dyDescent="0.3">
      <c r="A50" t="s">
        <v>87</v>
      </c>
      <c r="B50" s="1">
        <v>45803</v>
      </c>
      <c r="C50" t="s">
        <v>40</v>
      </c>
      <c r="D50" t="s">
        <v>29</v>
      </c>
      <c r="E50" t="s">
        <v>26</v>
      </c>
      <c r="F50" t="s">
        <v>16</v>
      </c>
      <c r="G50" t="s">
        <v>36</v>
      </c>
      <c r="H50">
        <v>4</v>
      </c>
      <c r="I50">
        <v>406.18</v>
      </c>
      <c r="J50">
        <v>0.05</v>
      </c>
      <c r="K50">
        <v>1624.72</v>
      </c>
      <c r="L50">
        <v>54.6</v>
      </c>
    </row>
    <row r="51" spans="1:12" x14ac:dyDescent="0.3">
      <c r="A51" t="s">
        <v>88</v>
      </c>
      <c r="B51" s="1">
        <v>45783</v>
      </c>
      <c r="C51" t="s">
        <v>43</v>
      </c>
      <c r="D51" t="s">
        <v>25</v>
      </c>
      <c r="E51" t="s">
        <v>15</v>
      </c>
      <c r="F51" t="s">
        <v>21</v>
      </c>
      <c r="G51" t="s">
        <v>48</v>
      </c>
      <c r="H51">
        <v>4</v>
      </c>
      <c r="I51">
        <v>363.4</v>
      </c>
      <c r="J51">
        <v>0.15</v>
      </c>
      <c r="K51">
        <v>1453.6</v>
      </c>
      <c r="L51">
        <v>154.22</v>
      </c>
    </row>
    <row r="52" spans="1:12" x14ac:dyDescent="0.3">
      <c r="A52" t="s">
        <v>89</v>
      </c>
      <c r="B52" s="1">
        <v>45782</v>
      </c>
      <c r="C52" t="s">
        <v>24</v>
      </c>
      <c r="D52" t="s">
        <v>38</v>
      </c>
      <c r="E52" t="s">
        <v>20</v>
      </c>
      <c r="F52" t="s">
        <v>21</v>
      </c>
      <c r="G52" t="s">
        <v>27</v>
      </c>
      <c r="H52">
        <v>7</v>
      </c>
      <c r="I52">
        <v>121.14</v>
      </c>
      <c r="J52">
        <v>0.2</v>
      </c>
      <c r="K52">
        <v>847.98</v>
      </c>
      <c r="L52">
        <v>64.56</v>
      </c>
    </row>
    <row r="53" spans="1:12" x14ac:dyDescent="0.3">
      <c r="A53" t="s">
        <v>90</v>
      </c>
      <c r="B53" s="1">
        <v>45943</v>
      </c>
      <c r="C53" t="s">
        <v>24</v>
      </c>
      <c r="D53" t="s">
        <v>46</v>
      </c>
      <c r="E53" t="s">
        <v>20</v>
      </c>
      <c r="F53" t="s">
        <v>16</v>
      </c>
      <c r="G53" t="s">
        <v>44</v>
      </c>
      <c r="H53">
        <v>6</v>
      </c>
      <c r="I53">
        <v>475.77</v>
      </c>
      <c r="J53">
        <v>0.15</v>
      </c>
      <c r="K53">
        <v>2854.62</v>
      </c>
      <c r="L53">
        <v>387.27</v>
      </c>
    </row>
    <row r="54" spans="1:12" x14ac:dyDescent="0.3">
      <c r="A54" t="s">
        <v>91</v>
      </c>
      <c r="B54" s="1">
        <v>45916</v>
      </c>
      <c r="C54" t="s">
        <v>43</v>
      </c>
      <c r="D54" t="s">
        <v>46</v>
      </c>
      <c r="E54" t="s">
        <v>20</v>
      </c>
      <c r="F54" t="s">
        <v>21</v>
      </c>
      <c r="G54" t="s">
        <v>22</v>
      </c>
      <c r="H54">
        <v>8</v>
      </c>
      <c r="I54">
        <v>140.71</v>
      </c>
      <c r="J54">
        <v>0.05</v>
      </c>
      <c r="K54">
        <v>1125.68</v>
      </c>
      <c r="L54">
        <v>267.31</v>
      </c>
    </row>
    <row r="55" spans="1:12" x14ac:dyDescent="0.3">
      <c r="A55" t="s">
        <v>92</v>
      </c>
      <c r="B55" s="1">
        <v>45799</v>
      </c>
      <c r="C55" t="s">
        <v>43</v>
      </c>
      <c r="D55" t="s">
        <v>46</v>
      </c>
      <c r="E55" t="s">
        <v>15</v>
      </c>
      <c r="F55" t="s">
        <v>21</v>
      </c>
      <c r="G55" t="s">
        <v>48</v>
      </c>
      <c r="H55">
        <v>2</v>
      </c>
      <c r="I55">
        <v>361.07</v>
      </c>
      <c r="J55">
        <v>0.05</v>
      </c>
      <c r="K55">
        <v>722.14</v>
      </c>
      <c r="L55">
        <v>68.91</v>
      </c>
    </row>
    <row r="56" spans="1:12" x14ac:dyDescent="0.3">
      <c r="A56" t="s">
        <v>93</v>
      </c>
      <c r="B56" s="1">
        <v>45821</v>
      </c>
      <c r="C56" t="s">
        <v>13</v>
      </c>
      <c r="D56" t="s">
        <v>25</v>
      </c>
      <c r="E56" t="s">
        <v>20</v>
      </c>
      <c r="F56" t="s">
        <v>16</v>
      </c>
      <c r="G56" t="s">
        <v>36</v>
      </c>
      <c r="H56">
        <v>3</v>
      </c>
      <c r="I56">
        <v>357.61</v>
      </c>
      <c r="J56">
        <v>0</v>
      </c>
      <c r="K56">
        <v>1072.83</v>
      </c>
      <c r="L56">
        <v>164.91</v>
      </c>
    </row>
    <row r="57" spans="1:12" x14ac:dyDescent="0.3">
      <c r="A57" t="s">
        <v>94</v>
      </c>
      <c r="B57" s="1">
        <v>45827</v>
      </c>
      <c r="C57" t="s">
        <v>43</v>
      </c>
      <c r="D57" t="s">
        <v>25</v>
      </c>
      <c r="E57" t="s">
        <v>20</v>
      </c>
      <c r="F57" t="s">
        <v>31</v>
      </c>
      <c r="G57" t="s">
        <v>59</v>
      </c>
      <c r="H57">
        <v>7</v>
      </c>
      <c r="I57">
        <v>453.85</v>
      </c>
      <c r="J57">
        <v>0.2</v>
      </c>
      <c r="K57">
        <v>3176.95</v>
      </c>
      <c r="L57">
        <v>624.32000000000005</v>
      </c>
    </row>
    <row r="58" spans="1:12" x14ac:dyDescent="0.3">
      <c r="A58" t="s">
        <v>95</v>
      </c>
      <c r="B58" s="1">
        <v>45668</v>
      </c>
      <c r="C58" t="s">
        <v>43</v>
      </c>
      <c r="D58" t="s">
        <v>29</v>
      </c>
      <c r="E58" t="s">
        <v>15</v>
      </c>
      <c r="F58" t="s">
        <v>31</v>
      </c>
      <c r="G58" t="s">
        <v>59</v>
      </c>
      <c r="H58">
        <v>7</v>
      </c>
      <c r="I58">
        <v>428.92</v>
      </c>
      <c r="J58">
        <v>0.15</v>
      </c>
      <c r="K58">
        <v>3002.44</v>
      </c>
      <c r="L58">
        <v>351.45</v>
      </c>
    </row>
    <row r="59" spans="1:12" x14ac:dyDescent="0.3">
      <c r="A59" t="s">
        <v>96</v>
      </c>
      <c r="B59" s="1">
        <v>45937</v>
      </c>
      <c r="C59" t="s">
        <v>24</v>
      </c>
      <c r="D59" t="s">
        <v>25</v>
      </c>
      <c r="E59" t="s">
        <v>15</v>
      </c>
      <c r="F59" t="s">
        <v>31</v>
      </c>
      <c r="G59" t="s">
        <v>59</v>
      </c>
      <c r="H59">
        <v>8</v>
      </c>
      <c r="I59">
        <v>29.08</v>
      </c>
      <c r="J59">
        <v>0.1</v>
      </c>
      <c r="K59">
        <v>232.64</v>
      </c>
      <c r="L59">
        <v>40.06</v>
      </c>
    </row>
    <row r="60" spans="1:12" x14ac:dyDescent="0.3">
      <c r="A60" t="s">
        <v>97</v>
      </c>
      <c r="B60" s="1">
        <v>45865</v>
      </c>
      <c r="C60" t="s">
        <v>24</v>
      </c>
      <c r="D60" t="s">
        <v>19</v>
      </c>
      <c r="E60" t="s">
        <v>26</v>
      </c>
      <c r="F60" t="s">
        <v>31</v>
      </c>
      <c r="G60" t="s">
        <v>59</v>
      </c>
      <c r="H60">
        <v>7</v>
      </c>
      <c r="I60">
        <v>302.07</v>
      </c>
      <c r="J60">
        <v>0</v>
      </c>
      <c r="K60">
        <v>2114.4899999999998</v>
      </c>
      <c r="L60">
        <v>150.1</v>
      </c>
    </row>
    <row r="61" spans="1:12" x14ac:dyDescent="0.3">
      <c r="A61" t="s">
        <v>98</v>
      </c>
      <c r="B61" s="1">
        <v>45877</v>
      </c>
      <c r="C61" t="s">
        <v>24</v>
      </c>
      <c r="D61" t="s">
        <v>29</v>
      </c>
      <c r="E61" t="s">
        <v>20</v>
      </c>
      <c r="F61" t="s">
        <v>31</v>
      </c>
      <c r="G61" t="s">
        <v>59</v>
      </c>
      <c r="H61">
        <v>7</v>
      </c>
      <c r="I61">
        <v>173.77</v>
      </c>
      <c r="J61">
        <v>0.15</v>
      </c>
      <c r="K61">
        <v>1216.3900000000001</v>
      </c>
      <c r="L61">
        <v>78.11</v>
      </c>
    </row>
    <row r="62" spans="1:12" x14ac:dyDescent="0.3">
      <c r="A62" t="s">
        <v>99</v>
      </c>
      <c r="B62" s="1">
        <v>45852</v>
      </c>
      <c r="C62" t="s">
        <v>40</v>
      </c>
      <c r="D62" t="s">
        <v>46</v>
      </c>
      <c r="E62" t="s">
        <v>20</v>
      </c>
      <c r="F62" t="s">
        <v>31</v>
      </c>
      <c r="G62" t="s">
        <v>32</v>
      </c>
      <c r="H62">
        <v>1</v>
      </c>
      <c r="I62">
        <v>378.28</v>
      </c>
      <c r="J62">
        <v>0</v>
      </c>
      <c r="K62">
        <v>378.28</v>
      </c>
      <c r="L62">
        <v>113.48</v>
      </c>
    </row>
    <row r="63" spans="1:12" x14ac:dyDescent="0.3">
      <c r="A63" t="s">
        <v>100</v>
      </c>
      <c r="B63" s="1">
        <v>45837</v>
      </c>
      <c r="C63" t="s">
        <v>24</v>
      </c>
      <c r="D63" t="s">
        <v>19</v>
      </c>
      <c r="E63" t="s">
        <v>26</v>
      </c>
      <c r="F63" t="s">
        <v>21</v>
      </c>
      <c r="G63" t="s">
        <v>48</v>
      </c>
      <c r="H63">
        <v>1</v>
      </c>
      <c r="I63">
        <v>475.56</v>
      </c>
      <c r="J63">
        <v>0.05</v>
      </c>
      <c r="K63">
        <v>475.56</v>
      </c>
      <c r="L63">
        <v>112.85</v>
      </c>
    </row>
    <row r="64" spans="1:12" x14ac:dyDescent="0.3">
      <c r="A64" t="s">
        <v>101</v>
      </c>
      <c r="B64" s="1">
        <v>45976</v>
      </c>
      <c r="C64" t="s">
        <v>24</v>
      </c>
      <c r="D64" t="s">
        <v>38</v>
      </c>
      <c r="E64" t="s">
        <v>15</v>
      </c>
      <c r="F64" t="s">
        <v>16</v>
      </c>
      <c r="G64" t="s">
        <v>36</v>
      </c>
      <c r="H64">
        <v>4</v>
      </c>
      <c r="I64">
        <v>240.54</v>
      </c>
      <c r="J64">
        <v>0.1</v>
      </c>
      <c r="K64">
        <v>962.16</v>
      </c>
      <c r="L64">
        <v>189.28</v>
      </c>
    </row>
    <row r="65" spans="1:12" x14ac:dyDescent="0.3">
      <c r="A65" t="s">
        <v>102</v>
      </c>
      <c r="B65" s="1">
        <v>45743</v>
      </c>
      <c r="C65" t="s">
        <v>13</v>
      </c>
      <c r="D65" t="s">
        <v>19</v>
      </c>
      <c r="E65" t="s">
        <v>20</v>
      </c>
      <c r="F65" t="s">
        <v>16</v>
      </c>
      <c r="G65" t="s">
        <v>44</v>
      </c>
      <c r="H65">
        <v>5</v>
      </c>
      <c r="I65">
        <v>294.26</v>
      </c>
      <c r="J65">
        <v>0.15</v>
      </c>
      <c r="K65">
        <v>1471.3</v>
      </c>
      <c r="L65">
        <v>120.15</v>
      </c>
    </row>
    <row r="66" spans="1:12" x14ac:dyDescent="0.3">
      <c r="A66" t="s">
        <v>103</v>
      </c>
      <c r="B66" s="1">
        <v>45759</v>
      </c>
      <c r="C66" t="s">
        <v>13</v>
      </c>
      <c r="D66" t="s">
        <v>14</v>
      </c>
      <c r="E66" t="s">
        <v>26</v>
      </c>
      <c r="F66" t="s">
        <v>21</v>
      </c>
      <c r="G66" t="s">
        <v>27</v>
      </c>
      <c r="H66">
        <v>2</v>
      </c>
      <c r="I66">
        <v>353.14</v>
      </c>
      <c r="J66">
        <v>0.1</v>
      </c>
      <c r="K66">
        <v>706.28</v>
      </c>
      <c r="L66">
        <v>153.66999999999999</v>
      </c>
    </row>
    <row r="67" spans="1:12" x14ac:dyDescent="0.3">
      <c r="A67" t="s">
        <v>104</v>
      </c>
      <c r="B67" s="1">
        <v>45965</v>
      </c>
      <c r="C67" t="s">
        <v>13</v>
      </c>
      <c r="D67" t="s">
        <v>25</v>
      </c>
      <c r="E67" t="s">
        <v>15</v>
      </c>
      <c r="F67" t="s">
        <v>21</v>
      </c>
      <c r="G67" t="s">
        <v>48</v>
      </c>
      <c r="H67">
        <v>6</v>
      </c>
      <c r="I67">
        <v>48.44</v>
      </c>
      <c r="J67">
        <v>0.1</v>
      </c>
      <c r="K67">
        <v>290.64</v>
      </c>
      <c r="L67">
        <v>2.37</v>
      </c>
    </row>
    <row r="68" spans="1:12" x14ac:dyDescent="0.3">
      <c r="A68" t="s">
        <v>105</v>
      </c>
      <c r="B68" s="1">
        <v>45873</v>
      </c>
      <c r="C68" t="s">
        <v>43</v>
      </c>
      <c r="D68" t="s">
        <v>46</v>
      </c>
      <c r="E68" t="s">
        <v>15</v>
      </c>
      <c r="F68" t="s">
        <v>16</v>
      </c>
      <c r="G68" t="s">
        <v>44</v>
      </c>
      <c r="H68">
        <v>3</v>
      </c>
      <c r="I68">
        <v>226.21</v>
      </c>
      <c r="J68">
        <v>0.2</v>
      </c>
      <c r="K68">
        <v>678.63</v>
      </c>
      <c r="L68">
        <v>136.65</v>
      </c>
    </row>
    <row r="69" spans="1:12" x14ac:dyDescent="0.3">
      <c r="A69" t="s">
        <v>106</v>
      </c>
      <c r="B69" s="1">
        <v>45796</v>
      </c>
      <c r="C69" t="s">
        <v>43</v>
      </c>
      <c r="D69" t="s">
        <v>29</v>
      </c>
      <c r="E69" t="s">
        <v>26</v>
      </c>
      <c r="F69" t="s">
        <v>31</v>
      </c>
      <c r="G69" t="s">
        <v>32</v>
      </c>
      <c r="H69">
        <v>6</v>
      </c>
      <c r="I69">
        <v>428.08</v>
      </c>
      <c r="J69">
        <v>0</v>
      </c>
      <c r="K69">
        <v>2568.48</v>
      </c>
      <c r="L69">
        <v>307.52999999999997</v>
      </c>
    </row>
    <row r="70" spans="1:12" x14ac:dyDescent="0.3">
      <c r="A70" t="s">
        <v>107</v>
      </c>
      <c r="B70" s="1">
        <v>45888</v>
      </c>
      <c r="C70" t="s">
        <v>24</v>
      </c>
      <c r="D70" t="s">
        <v>25</v>
      </c>
      <c r="E70" t="s">
        <v>26</v>
      </c>
      <c r="F70" t="s">
        <v>31</v>
      </c>
      <c r="G70" t="s">
        <v>55</v>
      </c>
      <c r="H70">
        <v>6</v>
      </c>
      <c r="I70">
        <v>28.92</v>
      </c>
      <c r="J70">
        <v>0.1</v>
      </c>
      <c r="K70">
        <v>173.52</v>
      </c>
      <c r="L70">
        <v>8.76</v>
      </c>
    </row>
    <row r="71" spans="1:12" x14ac:dyDescent="0.3">
      <c r="A71" t="s">
        <v>108</v>
      </c>
      <c r="B71" s="1">
        <v>45766</v>
      </c>
      <c r="C71" t="s">
        <v>40</v>
      </c>
      <c r="D71" t="s">
        <v>29</v>
      </c>
      <c r="E71" t="s">
        <v>15</v>
      </c>
      <c r="F71" t="s">
        <v>31</v>
      </c>
      <c r="G71" t="s">
        <v>32</v>
      </c>
      <c r="H71">
        <v>1</v>
      </c>
      <c r="I71">
        <v>265.56</v>
      </c>
      <c r="J71">
        <v>0.05</v>
      </c>
      <c r="K71">
        <v>265.56</v>
      </c>
      <c r="L71">
        <v>12.99</v>
      </c>
    </row>
    <row r="72" spans="1:12" x14ac:dyDescent="0.3">
      <c r="A72" t="s">
        <v>109</v>
      </c>
      <c r="B72" s="1">
        <v>45866</v>
      </c>
      <c r="C72" t="s">
        <v>43</v>
      </c>
      <c r="D72" t="s">
        <v>46</v>
      </c>
      <c r="E72" t="s">
        <v>26</v>
      </c>
      <c r="F72" t="s">
        <v>21</v>
      </c>
      <c r="G72" t="s">
        <v>48</v>
      </c>
      <c r="H72">
        <v>8</v>
      </c>
      <c r="I72">
        <v>232.36</v>
      </c>
      <c r="J72">
        <v>0</v>
      </c>
      <c r="K72">
        <v>1858.88</v>
      </c>
      <c r="L72">
        <v>136.19</v>
      </c>
    </row>
    <row r="73" spans="1:12" x14ac:dyDescent="0.3">
      <c r="A73" t="s">
        <v>110</v>
      </c>
      <c r="B73" s="1">
        <v>45771</v>
      </c>
      <c r="C73" t="s">
        <v>43</v>
      </c>
      <c r="D73" t="s">
        <v>34</v>
      </c>
      <c r="E73" t="s">
        <v>15</v>
      </c>
      <c r="F73" t="s">
        <v>21</v>
      </c>
      <c r="G73" t="s">
        <v>48</v>
      </c>
      <c r="H73">
        <v>8</v>
      </c>
      <c r="I73">
        <v>283.43</v>
      </c>
      <c r="J73">
        <v>0.1</v>
      </c>
      <c r="K73">
        <v>2267.44</v>
      </c>
      <c r="L73">
        <v>252.54</v>
      </c>
    </row>
    <row r="74" spans="1:12" x14ac:dyDescent="0.3">
      <c r="A74" t="s">
        <v>111</v>
      </c>
      <c r="B74" s="1">
        <v>45939</v>
      </c>
      <c r="C74" t="s">
        <v>40</v>
      </c>
      <c r="D74" t="s">
        <v>29</v>
      </c>
      <c r="E74" t="s">
        <v>15</v>
      </c>
      <c r="F74" t="s">
        <v>31</v>
      </c>
      <c r="G74" t="s">
        <v>55</v>
      </c>
      <c r="H74">
        <v>5</v>
      </c>
      <c r="I74">
        <v>136.93</v>
      </c>
      <c r="J74">
        <v>0</v>
      </c>
      <c r="K74">
        <v>684.65</v>
      </c>
      <c r="L74">
        <v>157.69</v>
      </c>
    </row>
    <row r="75" spans="1:12" x14ac:dyDescent="0.3">
      <c r="A75" t="s">
        <v>112</v>
      </c>
      <c r="B75" s="1">
        <v>45819</v>
      </c>
      <c r="C75" t="s">
        <v>13</v>
      </c>
      <c r="D75" t="s">
        <v>66</v>
      </c>
      <c r="E75" t="s">
        <v>26</v>
      </c>
      <c r="F75" t="s">
        <v>21</v>
      </c>
      <c r="G75" t="s">
        <v>27</v>
      </c>
      <c r="H75">
        <v>4</v>
      </c>
      <c r="I75">
        <v>119.95</v>
      </c>
      <c r="J75">
        <v>0.15</v>
      </c>
      <c r="K75">
        <v>479.8</v>
      </c>
      <c r="L75">
        <v>24.77</v>
      </c>
    </row>
    <row r="76" spans="1:12" x14ac:dyDescent="0.3">
      <c r="A76" t="s">
        <v>113</v>
      </c>
      <c r="B76" s="1">
        <v>45959</v>
      </c>
      <c r="C76" t="s">
        <v>40</v>
      </c>
      <c r="D76" t="s">
        <v>14</v>
      </c>
      <c r="E76" t="s">
        <v>15</v>
      </c>
      <c r="F76" t="s">
        <v>16</v>
      </c>
      <c r="G76" t="s">
        <v>36</v>
      </c>
      <c r="H76">
        <v>6</v>
      </c>
      <c r="I76">
        <v>102.03</v>
      </c>
      <c r="J76">
        <v>0</v>
      </c>
      <c r="K76">
        <v>612.17999999999995</v>
      </c>
      <c r="L76">
        <v>138.97</v>
      </c>
    </row>
    <row r="77" spans="1:12" x14ac:dyDescent="0.3">
      <c r="A77" t="s">
        <v>114</v>
      </c>
      <c r="B77" s="1">
        <v>45722</v>
      </c>
      <c r="C77" t="s">
        <v>40</v>
      </c>
      <c r="D77" t="s">
        <v>29</v>
      </c>
      <c r="E77" t="s">
        <v>26</v>
      </c>
      <c r="F77" t="s">
        <v>16</v>
      </c>
      <c r="G77" t="s">
        <v>36</v>
      </c>
      <c r="H77">
        <v>3</v>
      </c>
      <c r="I77">
        <v>324.37</v>
      </c>
      <c r="J77">
        <v>0.15</v>
      </c>
      <c r="K77">
        <v>973.11</v>
      </c>
      <c r="L77">
        <v>7.93</v>
      </c>
    </row>
    <row r="78" spans="1:12" x14ac:dyDescent="0.3">
      <c r="A78" t="s">
        <v>115</v>
      </c>
      <c r="B78" s="1">
        <v>45664</v>
      </c>
      <c r="C78" t="s">
        <v>40</v>
      </c>
      <c r="D78" t="s">
        <v>34</v>
      </c>
      <c r="E78" t="s">
        <v>15</v>
      </c>
      <c r="F78" t="s">
        <v>31</v>
      </c>
      <c r="G78" t="s">
        <v>32</v>
      </c>
      <c r="H78">
        <v>3</v>
      </c>
      <c r="I78">
        <v>483.27</v>
      </c>
      <c r="J78">
        <v>0.1</v>
      </c>
      <c r="K78">
        <v>1449.81</v>
      </c>
      <c r="L78">
        <v>348.34</v>
      </c>
    </row>
    <row r="79" spans="1:12" x14ac:dyDescent="0.3">
      <c r="A79" t="s">
        <v>116</v>
      </c>
      <c r="B79" s="1">
        <v>45902</v>
      </c>
      <c r="C79" t="s">
        <v>13</v>
      </c>
      <c r="D79" t="s">
        <v>38</v>
      </c>
      <c r="E79" t="s">
        <v>15</v>
      </c>
      <c r="F79" t="s">
        <v>16</v>
      </c>
      <c r="G79" t="s">
        <v>44</v>
      </c>
      <c r="H79">
        <v>1</v>
      </c>
      <c r="I79">
        <v>88.59</v>
      </c>
      <c r="J79">
        <v>0.2</v>
      </c>
      <c r="K79">
        <v>88.59</v>
      </c>
      <c r="L79">
        <v>17.48</v>
      </c>
    </row>
    <row r="80" spans="1:12" x14ac:dyDescent="0.3">
      <c r="A80" t="s">
        <v>117</v>
      </c>
      <c r="B80" s="1">
        <v>45701</v>
      </c>
      <c r="C80" t="s">
        <v>24</v>
      </c>
      <c r="D80" t="s">
        <v>14</v>
      </c>
      <c r="E80" t="s">
        <v>15</v>
      </c>
      <c r="F80" t="s">
        <v>16</v>
      </c>
      <c r="G80" t="s">
        <v>17</v>
      </c>
      <c r="H80">
        <v>7</v>
      </c>
      <c r="I80">
        <v>233.5</v>
      </c>
      <c r="J80">
        <v>0.15</v>
      </c>
      <c r="K80">
        <v>1634.5</v>
      </c>
      <c r="L80">
        <v>92.9</v>
      </c>
    </row>
    <row r="81" spans="1:12" x14ac:dyDescent="0.3">
      <c r="A81" t="s">
        <v>118</v>
      </c>
      <c r="B81" s="1">
        <v>45959</v>
      </c>
      <c r="C81" t="s">
        <v>43</v>
      </c>
      <c r="D81" t="s">
        <v>19</v>
      </c>
      <c r="E81" t="s">
        <v>26</v>
      </c>
      <c r="F81" t="s">
        <v>31</v>
      </c>
      <c r="G81" t="s">
        <v>55</v>
      </c>
      <c r="H81">
        <v>2</v>
      </c>
      <c r="I81">
        <v>474.58</v>
      </c>
      <c r="J81">
        <v>0.05</v>
      </c>
      <c r="K81">
        <v>949.16</v>
      </c>
      <c r="L81">
        <v>174.53</v>
      </c>
    </row>
    <row r="82" spans="1:12" x14ac:dyDescent="0.3">
      <c r="A82" t="s">
        <v>119</v>
      </c>
      <c r="B82" s="1">
        <v>45793</v>
      </c>
      <c r="C82" t="s">
        <v>13</v>
      </c>
      <c r="D82" t="s">
        <v>38</v>
      </c>
      <c r="E82" t="s">
        <v>20</v>
      </c>
      <c r="F82" t="s">
        <v>16</v>
      </c>
      <c r="G82" t="s">
        <v>36</v>
      </c>
      <c r="H82">
        <v>3</v>
      </c>
      <c r="I82">
        <v>16.3</v>
      </c>
      <c r="J82">
        <v>0.15</v>
      </c>
      <c r="K82">
        <v>48.9</v>
      </c>
      <c r="L82">
        <v>7.57</v>
      </c>
    </row>
    <row r="83" spans="1:12" x14ac:dyDescent="0.3">
      <c r="A83" t="s">
        <v>120</v>
      </c>
      <c r="B83" s="1">
        <v>45898</v>
      </c>
      <c r="C83" t="s">
        <v>40</v>
      </c>
      <c r="D83" t="s">
        <v>29</v>
      </c>
      <c r="E83" t="s">
        <v>15</v>
      </c>
      <c r="F83" t="s">
        <v>16</v>
      </c>
      <c r="G83" t="s">
        <v>36</v>
      </c>
      <c r="H83">
        <v>8</v>
      </c>
      <c r="I83">
        <v>49.52</v>
      </c>
      <c r="J83">
        <v>0.05</v>
      </c>
      <c r="K83">
        <v>396.16</v>
      </c>
      <c r="L83">
        <v>102.4</v>
      </c>
    </row>
    <row r="84" spans="1:12" x14ac:dyDescent="0.3">
      <c r="A84" t="s">
        <v>121</v>
      </c>
      <c r="B84" s="1">
        <v>45978</v>
      </c>
      <c r="C84" t="s">
        <v>24</v>
      </c>
      <c r="D84" t="s">
        <v>14</v>
      </c>
      <c r="E84" t="s">
        <v>26</v>
      </c>
      <c r="F84" t="s">
        <v>31</v>
      </c>
      <c r="G84" t="s">
        <v>59</v>
      </c>
      <c r="H84">
        <v>3</v>
      </c>
      <c r="I84">
        <v>455.58</v>
      </c>
      <c r="J84">
        <v>0.05</v>
      </c>
      <c r="K84">
        <v>1366.74</v>
      </c>
      <c r="L84">
        <v>61.99</v>
      </c>
    </row>
    <row r="85" spans="1:12" x14ac:dyDescent="0.3">
      <c r="A85" t="s">
        <v>122</v>
      </c>
      <c r="B85" s="1">
        <v>45742</v>
      </c>
      <c r="C85" t="s">
        <v>40</v>
      </c>
      <c r="D85" t="s">
        <v>29</v>
      </c>
      <c r="E85" t="s">
        <v>26</v>
      </c>
      <c r="F85" t="s">
        <v>21</v>
      </c>
      <c r="G85" t="s">
        <v>27</v>
      </c>
      <c r="H85">
        <v>8</v>
      </c>
      <c r="I85">
        <v>75.31</v>
      </c>
      <c r="J85">
        <v>0.1</v>
      </c>
      <c r="K85">
        <v>602.48</v>
      </c>
      <c r="L85">
        <v>108.41</v>
      </c>
    </row>
    <row r="86" spans="1:12" x14ac:dyDescent="0.3">
      <c r="A86" t="s">
        <v>123</v>
      </c>
      <c r="B86" s="1">
        <v>45797</v>
      </c>
      <c r="C86" t="s">
        <v>43</v>
      </c>
      <c r="D86" t="s">
        <v>19</v>
      </c>
      <c r="E86" t="s">
        <v>26</v>
      </c>
      <c r="F86" t="s">
        <v>31</v>
      </c>
      <c r="G86" t="s">
        <v>59</v>
      </c>
      <c r="H86">
        <v>7</v>
      </c>
      <c r="I86">
        <v>371.25</v>
      </c>
      <c r="J86">
        <v>0.2</v>
      </c>
      <c r="K86">
        <v>2598.75</v>
      </c>
      <c r="L86">
        <v>58.71</v>
      </c>
    </row>
    <row r="87" spans="1:12" x14ac:dyDescent="0.3">
      <c r="A87" t="s">
        <v>124</v>
      </c>
      <c r="B87" s="1">
        <v>45704</v>
      </c>
      <c r="C87" t="s">
        <v>24</v>
      </c>
      <c r="D87" t="s">
        <v>19</v>
      </c>
      <c r="E87" t="s">
        <v>26</v>
      </c>
      <c r="F87" t="s">
        <v>21</v>
      </c>
      <c r="G87" t="s">
        <v>27</v>
      </c>
      <c r="H87">
        <v>5</v>
      </c>
      <c r="I87">
        <v>294.48</v>
      </c>
      <c r="J87">
        <v>0.05</v>
      </c>
      <c r="K87">
        <v>1472.4</v>
      </c>
      <c r="L87">
        <v>213.68</v>
      </c>
    </row>
    <row r="88" spans="1:12" x14ac:dyDescent="0.3">
      <c r="A88" t="s">
        <v>125</v>
      </c>
      <c r="B88" s="1">
        <v>45991</v>
      </c>
      <c r="C88" t="s">
        <v>43</v>
      </c>
      <c r="D88" t="s">
        <v>25</v>
      </c>
      <c r="E88" t="s">
        <v>26</v>
      </c>
      <c r="F88" t="s">
        <v>31</v>
      </c>
      <c r="G88" t="s">
        <v>59</v>
      </c>
      <c r="H88">
        <v>8</v>
      </c>
      <c r="I88">
        <v>484.99</v>
      </c>
      <c r="J88">
        <v>0.15</v>
      </c>
      <c r="K88">
        <v>3879.92</v>
      </c>
      <c r="L88">
        <v>269.62</v>
      </c>
    </row>
    <row r="89" spans="1:12" x14ac:dyDescent="0.3">
      <c r="A89" t="s">
        <v>126</v>
      </c>
      <c r="B89" s="1">
        <v>45828</v>
      </c>
      <c r="C89" t="s">
        <v>40</v>
      </c>
      <c r="D89" t="s">
        <v>34</v>
      </c>
      <c r="E89" t="s">
        <v>20</v>
      </c>
      <c r="F89" t="s">
        <v>21</v>
      </c>
      <c r="G89" t="s">
        <v>48</v>
      </c>
      <c r="H89">
        <v>7</v>
      </c>
      <c r="I89">
        <v>351.43</v>
      </c>
      <c r="J89">
        <v>0.1</v>
      </c>
      <c r="K89">
        <v>2460.0100000000002</v>
      </c>
      <c r="L89">
        <v>419.79</v>
      </c>
    </row>
    <row r="90" spans="1:12" x14ac:dyDescent="0.3">
      <c r="A90" t="s">
        <v>127</v>
      </c>
      <c r="B90" s="1">
        <v>45863</v>
      </c>
      <c r="C90" t="s">
        <v>13</v>
      </c>
      <c r="D90" t="s">
        <v>29</v>
      </c>
      <c r="E90" t="s">
        <v>15</v>
      </c>
      <c r="F90" t="s">
        <v>31</v>
      </c>
      <c r="G90" t="s">
        <v>59</v>
      </c>
      <c r="H90">
        <v>6</v>
      </c>
      <c r="I90">
        <v>71.22</v>
      </c>
      <c r="J90">
        <v>0.15</v>
      </c>
      <c r="K90">
        <v>427.32</v>
      </c>
      <c r="L90">
        <v>84.92</v>
      </c>
    </row>
    <row r="91" spans="1:12" x14ac:dyDescent="0.3">
      <c r="A91" t="s">
        <v>128</v>
      </c>
      <c r="B91" s="1">
        <v>45658</v>
      </c>
      <c r="C91" t="s">
        <v>43</v>
      </c>
      <c r="D91" t="s">
        <v>34</v>
      </c>
      <c r="E91" t="s">
        <v>20</v>
      </c>
      <c r="F91" t="s">
        <v>31</v>
      </c>
      <c r="G91" t="s">
        <v>59</v>
      </c>
      <c r="H91">
        <v>8</v>
      </c>
      <c r="I91">
        <v>318.32</v>
      </c>
      <c r="J91">
        <v>0</v>
      </c>
      <c r="K91">
        <v>2546.56</v>
      </c>
      <c r="L91">
        <v>256.92</v>
      </c>
    </row>
    <row r="92" spans="1:12" x14ac:dyDescent="0.3">
      <c r="A92" t="s">
        <v>129</v>
      </c>
      <c r="B92" s="1">
        <v>45939</v>
      </c>
      <c r="C92" t="s">
        <v>24</v>
      </c>
      <c r="D92" t="s">
        <v>46</v>
      </c>
      <c r="E92" t="s">
        <v>26</v>
      </c>
      <c r="F92" t="s">
        <v>31</v>
      </c>
      <c r="G92" t="s">
        <v>32</v>
      </c>
      <c r="H92">
        <v>2</v>
      </c>
      <c r="I92">
        <v>29</v>
      </c>
      <c r="J92">
        <v>0.2</v>
      </c>
      <c r="K92">
        <v>58</v>
      </c>
      <c r="L92">
        <v>9.27</v>
      </c>
    </row>
    <row r="93" spans="1:12" x14ac:dyDescent="0.3">
      <c r="A93" t="s">
        <v>130</v>
      </c>
      <c r="B93" s="1">
        <v>46021</v>
      </c>
      <c r="C93" t="s">
        <v>24</v>
      </c>
      <c r="D93" t="s">
        <v>25</v>
      </c>
      <c r="E93" t="s">
        <v>20</v>
      </c>
      <c r="F93" t="s">
        <v>31</v>
      </c>
      <c r="G93" t="s">
        <v>55</v>
      </c>
      <c r="H93">
        <v>2</v>
      </c>
      <c r="I93">
        <v>123.98</v>
      </c>
      <c r="J93">
        <v>0</v>
      </c>
      <c r="K93">
        <v>247.96</v>
      </c>
      <c r="L93">
        <v>41</v>
      </c>
    </row>
    <row r="94" spans="1:12" x14ac:dyDescent="0.3">
      <c r="A94" t="s">
        <v>131</v>
      </c>
      <c r="B94" s="1">
        <v>45718</v>
      </c>
      <c r="C94" t="s">
        <v>24</v>
      </c>
      <c r="D94" t="s">
        <v>29</v>
      </c>
      <c r="E94" t="s">
        <v>15</v>
      </c>
      <c r="F94" t="s">
        <v>31</v>
      </c>
      <c r="G94" t="s">
        <v>55</v>
      </c>
      <c r="H94">
        <v>7</v>
      </c>
      <c r="I94">
        <v>419.84</v>
      </c>
      <c r="J94">
        <v>0.15</v>
      </c>
      <c r="K94">
        <v>2938.88</v>
      </c>
      <c r="L94">
        <v>127.64</v>
      </c>
    </row>
    <row r="95" spans="1:12" x14ac:dyDescent="0.3">
      <c r="A95" t="s">
        <v>132</v>
      </c>
      <c r="B95" s="1">
        <v>45940</v>
      </c>
      <c r="C95" t="s">
        <v>24</v>
      </c>
      <c r="D95" t="s">
        <v>66</v>
      </c>
      <c r="E95" t="s">
        <v>26</v>
      </c>
      <c r="F95" t="s">
        <v>31</v>
      </c>
      <c r="G95" t="s">
        <v>59</v>
      </c>
      <c r="H95">
        <v>2</v>
      </c>
      <c r="I95">
        <v>148.97999999999999</v>
      </c>
      <c r="J95">
        <v>0.15</v>
      </c>
      <c r="K95">
        <v>297.95999999999998</v>
      </c>
      <c r="L95">
        <v>20.100000000000001</v>
      </c>
    </row>
    <row r="96" spans="1:12" x14ac:dyDescent="0.3">
      <c r="A96" t="s">
        <v>133</v>
      </c>
      <c r="B96" s="1">
        <v>45917</v>
      </c>
      <c r="C96" t="s">
        <v>40</v>
      </c>
      <c r="D96" t="s">
        <v>29</v>
      </c>
      <c r="E96" t="s">
        <v>26</v>
      </c>
      <c r="F96" t="s">
        <v>16</v>
      </c>
      <c r="G96" t="s">
        <v>44</v>
      </c>
      <c r="H96">
        <v>8</v>
      </c>
      <c r="I96">
        <v>434.65</v>
      </c>
      <c r="J96">
        <v>0.15</v>
      </c>
      <c r="K96">
        <v>3477.2</v>
      </c>
      <c r="L96">
        <v>407.34</v>
      </c>
    </row>
    <row r="97" spans="1:12" x14ac:dyDescent="0.3">
      <c r="A97" t="s">
        <v>134</v>
      </c>
      <c r="B97" s="1">
        <v>45834</v>
      </c>
      <c r="C97" t="s">
        <v>40</v>
      </c>
      <c r="D97" t="s">
        <v>46</v>
      </c>
      <c r="E97" t="s">
        <v>15</v>
      </c>
      <c r="F97" t="s">
        <v>21</v>
      </c>
      <c r="G97" t="s">
        <v>27</v>
      </c>
      <c r="H97">
        <v>6</v>
      </c>
      <c r="I97">
        <v>436.76</v>
      </c>
      <c r="J97">
        <v>0.05</v>
      </c>
      <c r="K97">
        <v>2620.56</v>
      </c>
      <c r="L97">
        <v>446.67</v>
      </c>
    </row>
    <row r="98" spans="1:12" x14ac:dyDescent="0.3">
      <c r="A98" t="s">
        <v>135</v>
      </c>
      <c r="B98" s="1">
        <v>45777</v>
      </c>
      <c r="C98" t="s">
        <v>43</v>
      </c>
      <c r="D98" t="s">
        <v>46</v>
      </c>
      <c r="E98" t="s">
        <v>26</v>
      </c>
      <c r="F98" t="s">
        <v>16</v>
      </c>
      <c r="G98" t="s">
        <v>44</v>
      </c>
      <c r="H98">
        <v>7</v>
      </c>
      <c r="I98">
        <v>202.25</v>
      </c>
      <c r="J98">
        <v>0.05</v>
      </c>
      <c r="K98">
        <v>1415.75</v>
      </c>
      <c r="L98">
        <v>214.25</v>
      </c>
    </row>
    <row r="99" spans="1:12" x14ac:dyDescent="0.3">
      <c r="A99" t="s">
        <v>136</v>
      </c>
      <c r="B99" s="1">
        <v>45676</v>
      </c>
      <c r="C99" t="s">
        <v>24</v>
      </c>
      <c r="D99" t="s">
        <v>38</v>
      </c>
      <c r="E99" t="s">
        <v>15</v>
      </c>
      <c r="F99" t="s">
        <v>21</v>
      </c>
      <c r="G99" t="s">
        <v>27</v>
      </c>
      <c r="H99">
        <v>8</v>
      </c>
      <c r="I99">
        <v>63.36</v>
      </c>
      <c r="J99">
        <v>0.15</v>
      </c>
      <c r="K99">
        <v>506.88</v>
      </c>
      <c r="L99">
        <v>-6.93</v>
      </c>
    </row>
    <row r="100" spans="1:12" x14ac:dyDescent="0.3">
      <c r="A100" t="s">
        <v>137</v>
      </c>
      <c r="B100" s="1">
        <v>45731</v>
      </c>
      <c r="C100" t="s">
        <v>43</v>
      </c>
      <c r="D100" t="s">
        <v>46</v>
      </c>
      <c r="E100" t="s">
        <v>20</v>
      </c>
      <c r="F100" t="s">
        <v>21</v>
      </c>
      <c r="G100" t="s">
        <v>48</v>
      </c>
      <c r="H100">
        <v>5</v>
      </c>
      <c r="I100">
        <v>179.2</v>
      </c>
      <c r="J100">
        <v>0.15</v>
      </c>
      <c r="K100">
        <v>896</v>
      </c>
      <c r="L100">
        <v>129.88</v>
      </c>
    </row>
    <row r="101" spans="1:12" x14ac:dyDescent="0.3">
      <c r="A101" t="s">
        <v>138</v>
      </c>
      <c r="B101" s="1">
        <v>45826</v>
      </c>
      <c r="C101" t="s">
        <v>43</v>
      </c>
      <c r="D101" t="s">
        <v>46</v>
      </c>
      <c r="E101" t="s">
        <v>26</v>
      </c>
      <c r="F101" t="s">
        <v>31</v>
      </c>
      <c r="G101" t="s">
        <v>55</v>
      </c>
      <c r="H101">
        <v>1</v>
      </c>
      <c r="I101">
        <v>314.47000000000003</v>
      </c>
      <c r="J101">
        <v>0.05</v>
      </c>
      <c r="K101">
        <v>314.47000000000003</v>
      </c>
      <c r="L101">
        <v>58.27</v>
      </c>
    </row>
    <row r="102" spans="1:12" x14ac:dyDescent="0.3">
      <c r="A102" t="s">
        <v>139</v>
      </c>
      <c r="B102" s="1">
        <v>45805</v>
      </c>
      <c r="C102" t="s">
        <v>24</v>
      </c>
      <c r="D102" t="s">
        <v>38</v>
      </c>
      <c r="E102" t="s">
        <v>15</v>
      </c>
      <c r="F102" t="s">
        <v>21</v>
      </c>
      <c r="G102" t="s">
        <v>48</v>
      </c>
      <c r="H102">
        <v>2</v>
      </c>
      <c r="I102">
        <v>230.18</v>
      </c>
      <c r="J102">
        <v>0.1</v>
      </c>
      <c r="K102">
        <v>460.36</v>
      </c>
      <c r="L102">
        <v>106.28</v>
      </c>
    </row>
    <row r="103" spans="1:12" x14ac:dyDescent="0.3">
      <c r="A103" t="s">
        <v>140</v>
      </c>
      <c r="B103" s="1">
        <v>45681</v>
      </c>
      <c r="C103" t="s">
        <v>40</v>
      </c>
      <c r="D103" t="s">
        <v>34</v>
      </c>
      <c r="E103" t="s">
        <v>15</v>
      </c>
      <c r="F103" t="s">
        <v>16</v>
      </c>
      <c r="G103" t="s">
        <v>44</v>
      </c>
      <c r="H103">
        <v>7</v>
      </c>
      <c r="I103">
        <v>85.6</v>
      </c>
      <c r="J103">
        <v>0.2</v>
      </c>
      <c r="K103">
        <v>599.20000000000005</v>
      </c>
      <c r="L103">
        <v>37.76</v>
      </c>
    </row>
    <row r="104" spans="1:12" x14ac:dyDescent="0.3">
      <c r="A104" t="s">
        <v>141</v>
      </c>
      <c r="B104" s="1">
        <v>46007</v>
      </c>
      <c r="C104" t="s">
        <v>24</v>
      </c>
      <c r="D104" t="s">
        <v>25</v>
      </c>
      <c r="E104" t="s">
        <v>20</v>
      </c>
      <c r="F104" t="s">
        <v>16</v>
      </c>
      <c r="G104" t="s">
        <v>36</v>
      </c>
      <c r="H104">
        <v>4</v>
      </c>
      <c r="I104">
        <v>256.37</v>
      </c>
      <c r="J104">
        <v>0.2</v>
      </c>
      <c r="K104">
        <v>1025.48</v>
      </c>
      <c r="L104">
        <v>-4.33</v>
      </c>
    </row>
    <row r="105" spans="1:12" x14ac:dyDescent="0.3">
      <c r="A105" t="s">
        <v>142</v>
      </c>
      <c r="B105" s="1">
        <v>45894</v>
      </c>
      <c r="C105" t="s">
        <v>40</v>
      </c>
      <c r="D105" t="s">
        <v>19</v>
      </c>
      <c r="E105" t="s">
        <v>26</v>
      </c>
      <c r="F105" t="s">
        <v>31</v>
      </c>
      <c r="G105" t="s">
        <v>32</v>
      </c>
      <c r="H105">
        <v>8</v>
      </c>
      <c r="I105">
        <v>452.09</v>
      </c>
      <c r="J105">
        <v>0.2</v>
      </c>
      <c r="K105">
        <v>3616.72</v>
      </c>
      <c r="L105">
        <v>-1.83</v>
      </c>
    </row>
    <row r="106" spans="1:12" x14ac:dyDescent="0.3">
      <c r="A106" t="s">
        <v>143</v>
      </c>
      <c r="B106" s="1">
        <v>45884</v>
      </c>
      <c r="C106" t="s">
        <v>40</v>
      </c>
      <c r="D106" t="s">
        <v>25</v>
      </c>
      <c r="E106" t="s">
        <v>26</v>
      </c>
      <c r="F106" t="s">
        <v>21</v>
      </c>
      <c r="G106" t="s">
        <v>22</v>
      </c>
      <c r="H106">
        <v>5</v>
      </c>
      <c r="I106">
        <v>236.57</v>
      </c>
      <c r="J106">
        <v>0.1</v>
      </c>
      <c r="K106">
        <v>1182.8499999999999</v>
      </c>
      <c r="L106">
        <v>64.83</v>
      </c>
    </row>
    <row r="107" spans="1:12" x14ac:dyDescent="0.3">
      <c r="A107" t="s">
        <v>144</v>
      </c>
      <c r="B107" s="1">
        <v>45854</v>
      </c>
      <c r="C107" t="s">
        <v>43</v>
      </c>
      <c r="D107" t="s">
        <v>34</v>
      </c>
      <c r="E107" t="s">
        <v>15</v>
      </c>
      <c r="F107" t="s">
        <v>16</v>
      </c>
      <c r="G107" t="s">
        <v>36</v>
      </c>
      <c r="H107">
        <v>5</v>
      </c>
      <c r="I107">
        <v>496.46</v>
      </c>
      <c r="J107">
        <v>0.1</v>
      </c>
      <c r="K107">
        <v>2482.3000000000002</v>
      </c>
      <c r="L107">
        <v>26.03</v>
      </c>
    </row>
    <row r="108" spans="1:12" x14ac:dyDescent="0.3">
      <c r="A108" t="s">
        <v>145</v>
      </c>
      <c r="B108" s="1">
        <v>45995</v>
      </c>
      <c r="C108" t="s">
        <v>43</v>
      </c>
      <c r="D108" t="s">
        <v>19</v>
      </c>
      <c r="E108" t="s">
        <v>26</v>
      </c>
      <c r="F108" t="s">
        <v>31</v>
      </c>
      <c r="G108" t="s">
        <v>59</v>
      </c>
      <c r="H108">
        <v>8</v>
      </c>
      <c r="I108">
        <v>418.93</v>
      </c>
      <c r="J108">
        <v>0.1</v>
      </c>
      <c r="K108">
        <v>3351.44</v>
      </c>
      <c r="L108">
        <v>666.72</v>
      </c>
    </row>
    <row r="109" spans="1:12" x14ac:dyDescent="0.3">
      <c r="A109" t="s">
        <v>146</v>
      </c>
      <c r="B109" s="1">
        <v>45775</v>
      </c>
      <c r="C109" t="s">
        <v>40</v>
      </c>
      <c r="D109" t="s">
        <v>29</v>
      </c>
      <c r="E109" t="s">
        <v>20</v>
      </c>
      <c r="F109" t="s">
        <v>16</v>
      </c>
      <c r="G109" t="s">
        <v>17</v>
      </c>
      <c r="H109">
        <v>3</v>
      </c>
      <c r="I109">
        <v>319.7</v>
      </c>
      <c r="J109">
        <v>0</v>
      </c>
      <c r="K109">
        <v>959.1</v>
      </c>
      <c r="L109">
        <v>122.03</v>
      </c>
    </row>
    <row r="110" spans="1:12" x14ac:dyDescent="0.3">
      <c r="A110" t="s">
        <v>147</v>
      </c>
      <c r="B110" s="1">
        <v>45883</v>
      </c>
      <c r="C110" t="s">
        <v>13</v>
      </c>
      <c r="D110" t="s">
        <v>66</v>
      </c>
      <c r="E110" t="s">
        <v>26</v>
      </c>
      <c r="F110" t="s">
        <v>21</v>
      </c>
      <c r="G110" t="s">
        <v>22</v>
      </c>
      <c r="H110">
        <v>2</v>
      </c>
      <c r="I110">
        <v>456.17</v>
      </c>
      <c r="J110">
        <v>0.1</v>
      </c>
      <c r="K110">
        <v>912.34</v>
      </c>
      <c r="L110">
        <v>175.05</v>
      </c>
    </row>
    <row r="111" spans="1:12" x14ac:dyDescent="0.3">
      <c r="A111" t="s">
        <v>148</v>
      </c>
      <c r="B111" s="1">
        <v>45747</v>
      </c>
      <c r="C111" t="s">
        <v>24</v>
      </c>
      <c r="D111" t="s">
        <v>29</v>
      </c>
      <c r="E111" t="s">
        <v>15</v>
      </c>
      <c r="F111" t="s">
        <v>16</v>
      </c>
      <c r="G111" t="s">
        <v>17</v>
      </c>
      <c r="H111">
        <v>3</v>
      </c>
      <c r="I111">
        <v>139.63</v>
      </c>
      <c r="J111">
        <v>0.15</v>
      </c>
      <c r="K111">
        <v>418.89</v>
      </c>
      <c r="L111">
        <v>93.98</v>
      </c>
    </row>
    <row r="112" spans="1:12" x14ac:dyDescent="0.3">
      <c r="A112" t="s">
        <v>149</v>
      </c>
      <c r="B112" s="1">
        <v>45809</v>
      </c>
      <c r="C112" t="s">
        <v>40</v>
      </c>
      <c r="D112" t="s">
        <v>66</v>
      </c>
      <c r="E112" t="s">
        <v>20</v>
      </c>
      <c r="F112" t="s">
        <v>16</v>
      </c>
      <c r="G112" t="s">
        <v>44</v>
      </c>
      <c r="H112">
        <v>4</v>
      </c>
      <c r="I112">
        <v>432.17</v>
      </c>
      <c r="J112">
        <v>0.15</v>
      </c>
      <c r="K112">
        <v>1728.68</v>
      </c>
      <c r="L112">
        <v>387.77</v>
      </c>
    </row>
    <row r="113" spans="1:12" x14ac:dyDescent="0.3">
      <c r="A113" t="s">
        <v>150</v>
      </c>
      <c r="B113" s="1">
        <v>45943</v>
      </c>
      <c r="C113" t="s">
        <v>40</v>
      </c>
      <c r="D113" t="s">
        <v>29</v>
      </c>
      <c r="E113" t="s">
        <v>20</v>
      </c>
      <c r="F113" t="s">
        <v>16</v>
      </c>
      <c r="G113" t="s">
        <v>44</v>
      </c>
      <c r="H113">
        <v>2</v>
      </c>
      <c r="I113">
        <v>235.57</v>
      </c>
      <c r="J113">
        <v>0.1</v>
      </c>
      <c r="K113">
        <v>471.14</v>
      </c>
      <c r="L113">
        <v>71.209999999999994</v>
      </c>
    </row>
    <row r="114" spans="1:12" x14ac:dyDescent="0.3">
      <c r="A114" t="s">
        <v>151</v>
      </c>
      <c r="B114" s="1">
        <v>45984</v>
      </c>
      <c r="C114" t="s">
        <v>40</v>
      </c>
      <c r="D114" t="s">
        <v>46</v>
      </c>
      <c r="E114" t="s">
        <v>20</v>
      </c>
      <c r="F114" t="s">
        <v>16</v>
      </c>
      <c r="G114" t="s">
        <v>17</v>
      </c>
      <c r="H114">
        <v>1</v>
      </c>
      <c r="I114">
        <v>315.48</v>
      </c>
      <c r="J114">
        <v>0.2</v>
      </c>
      <c r="K114">
        <v>315.48</v>
      </c>
      <c r="L114">
        <v>13.25</v>
      </c>
    </row>
    <row r="115" spans="1:12" x14ac:dyDescent="0.3">
      <c r="A115" t="s">
        <v>152</v>
      </c>
      <c r="B115" s="1">
        <v>45970</v>
      </c>
      <c r="C115" t="s">
        <v>24</v>
      </c>
      <c r="D115" t="s">
        <v>46</v>
      </c>
      <c r="E115" t="s">
        <v>26</v>
      </c>
      <c r="F115" t="s">
        <v>21</v>
      </c>
      <c r="G115" t="s">
        <v>48</v>
      </c>
      <c r="H115">
        <v>5</v>
      </c>
      <c r="I115">
        <v>329.88</v>
      </c>
      <c r="J115">
        <v>0</v>
      </c>
      <c r="K115">
        <v>1649.4</v>
      </c>
      <c r="L115">
        <v>140.11000000000001</v>
      </c>
    </row>
    <row r="116" spans="1:12" x14ac:dyDescent="0.3">
      <c r="A116" t="s">
        <v>153</v>
      </c>
      <c r="B116" s="1">
        <v>45677</v>
      </c>
      <c r="C116" t="s">
        <v>40</v>
      </c>
      <c r="D116" t="s">
        <v>14</v>
      </c>
      <c r="E116" t="s">
        <v>20</v>
      </c>
      <c r="F116" t="s">
        <v>31</v>
      </c>
      <c r="G116" t="s">
        <v>59</v>
      </c>
      <c r="H116">
        <v>3</v>
      </c>
      <c r="I116">
        <v>203.49</v>
      </c>
      <c r="J116">
        <v>0.1</v>
      </c>
      <c r="K116">
        <v>610.47</v>
      </c>
      <c r="L116">
        <v>105.38</v>
      </c>
    </row>
    <row r="117" spans="1:12" x14ac:dyDescent="0.3">
      <c r="A117" t="s">
        <v>154</v>
      </c>
      <c r="B117" s="1">
        <v>46014</v>
      </c>
      <c r="C117" t="s">
        <v>43</v>
      </c>
      <c r="D117" t="s">
        <v>66</v>
      </c>
      <c r="E117" t="s">
        <v>26</v>
      </c>
      <c r="F117" t="s">
        <v>21</v>
      </c>
      <c r="G117" t="s">
        <v>27</v>
      </c>
      <c r="H117">
        <v>7</v>
      </c>
      <c r="I117">
        <v>332.64</v>
      </c>
      <c r="J117">
        <v>0.15</v>
      </c>
      <c r="K117">
        <v>2328.48</v>
      </c>
      <c r="L117">
        <v>317.64</v>
      </c>
    </row>
    <row r="118" spans="1:12" x14ac:dyDescent="0.3">
      <c r="A118" t="s">
        <v>155</v>
      </c>
      <c r="B118" s="1">
        <v>45801</v>
      </c>
      <c r="C118" t="s">
        <v>13</v>
      </c>
      <c r="D118" t="s">
        <v>46</v>
      </c>
      <c r="E118" t="s">
        <v>20</v>
      </c>
      <c r="F118" t="s">
        <v>21</v>
      </c>
      <c r="G118" t="s">
        <v>22</v>
      </c>
      <c r="H118">
        <v>8</v>
      </c>
      <c r="I118">
        <v>476.02</v>
      </c>
      <c r="J118">
        <v>0.1</v>
      </c>
      <c r="K118">
        <v>3808.16</v>
      </c>
      <c r="L118">
        <v>113.63</v>
      </c>
    </row>
    <row r="119" spans="1:12" x14ac:dyDescent="0.3">
      <c r="A119" t="s">
        <v>156</v>
      </c>
      <c r="B119" s="1">
        <v>46009</v>
      </c>
      <c r="C119" t="s">
        <v>40</v>
      </c>
      <c r="D119" t="s">
        <v>19</v>
      </c>
      <c r="E119" t="s">
        <v>15</v>
      </c>
      <c r="F119" t="s">
        <v>21</v>
      </c>
      <c r="G119" t="s">
        <v>27</v>
      </c>
      <c r="H119">
        <v>7</v>
      </c>
      <c r="I119">
        <v>148.80000000000001</v>
      </c>
      <c r="J119">
        <v>0</v>
      </c>
      <c r="K119">
        <v>1041.5999999999999</v>
      </c>
      <c r="L119">
        <v>299.2</v>
      </c>
    </row>
    <row r="120" spans="1:12" x14ac:dyDescent="0.3">
      <c r="A120" t="s">
        <v>157</v>
      </c>
      <c r="B120" s="1">
        <v>45890</v>
      </c>
      <c r="C120" t="s">
        <v>13</v>
      </c>
      <c r="D120" t="s">
        <v>19</v>
      </c>
      <c r="E120" t="s">
        <v>26</v>
      </c>
      <c r="F120" t="s">
        <v>21</v>
      </c>
      <c r="G120" t="s">
        <v>48</v>
      </c>
      <c r="H120">
        <v>1</v>
      </c>
      <c r="I120">
        <v>396.6</v>
      </c>
      <c r="J120">
        <v>0.05</v>
      </c>
      <c r="K120">
        <v>396.6</v>
      </c>
      <c r="L120">
        <v>108.95</v>
      </c>
    </row>
    <row r="121" spans="1:12" x14ac:dyDescent="0.3">
      <c r="A121" t="s">
        <v>158</v>
      </c>
      <c r="B121" s="1">
        <v>45947</v>
      </c>
      <c r="C121" t="s">
        <v>24</v>
      </c>
      <c r="D121" t="s">
        <v>14</v>
      </c>
      <c r="E121" t="s">
        <v>20</v>
      </c>
      <c r="F121" t="s">
        <v>16</v>
      </c>
      <c r="G121" t="s">
        <v>17</v>
      </c>
      <c r="H121">
        <v>4</v>
      </c>
      <c r="I121">
        <v>174.35</v>
      </c>
      <c r="J121">
        <v>0.05</v>
      </c>
      <c r="K121">
        <v>697.4</v>
      </c>
      <c r="L121">
        <v>156.68</v>
      </c>
    </row>
    <row r="122" spans="1:12" x14ac:dyDescent="0.3">
      <c r="A122" t="s">
        <v>159</v>
      </c>
      <c r="B122" s="1">
        <v>45963</v>
      </c>
      <c r="C122" t="s">
        <v>13</v>
      </c>
      <c r="D122" t="s">
        <v>29</v>
      </c>
      <c r="E122" t="s">
        <v>20</v>
      </c>
      <c r="F122" t="s">
        <v>31</v>
      </c>
      <c r="G122" t="s">
        <v>59</v>
      </c>
      <c r="H122">
        <v>3</v>
      </c>
      <c r="I122">
        <v>68.31</v>
      </c>
      <c r="J122">
        <v>0</v>
      </c>
      <c r="K122">
        <v>204.93</v>
      </c>
      <c r="L122">
        <v>17</v>
      </c>
    </row>
    <row r="123" spans="1:12" x14ac:dyDescent="0.3">
      <c r="A123" t="s">
        <v>160</v>
      </c>
      <c r="B123" s="1">
        <v>45841</v>
      </c>
      <c r="C123" t="s">
        <v>24</v>
      </c>
      <c r="D123" t="s">
        <v>66</v>
      </c>
      <c r="E123" t="s">
        <v>20</v>
      </c>
      <c r="F123" t="s">
        <v>21</v>
      </c>
      <c r="G123" t="s">
        <v>22</v>
      </c>
      <c r="H123">
        <v>5</v>
      </c>
      <c r="I123">
        <v>40.409999999999997</v>
      </c>
      <c r="J123">
        <v>0.15</v>
      </c>
      <c r="K123">
        <v>202.05</v>
      </c>
      <c r="L123">
        <v>23.04</v>
      </c>
    </row>
    <row r="124" spans="1:12" x14ac:dyDescent="0.3">
      <c r="A124" t="s">
        <v>161</v>
      </c>
      <c r="B124" s="1">
        <v>45690</v>
      </c>
      <c r="C124" t="s">
        <v>43</v>
      </c>
      <c r="D124" t="s">
        <v>38</v>
      </c>
      <c r="E124" t="s">
        <v>26</v>
      </c>
      <c r="F124" t="s">
        <v>31</v>
      </c>
      <c r="G124" t="s">
        <v>32</v>
      </c>
      <c r="H124">
        <v>8</v>
      </c>
      <c r="I124">
        <v>259.36</v>
      </c>
      <c r="J124">
        <v>0.2</v>
      </c>
      <c r="K124">
        <v>2074.88</v>
      </c>
      <c r="L124">
        <v>-60.5</v>
      </c>
    </row>
    <row r="125" spans="1:12" x14ac:dyDescent="0.3">
      <c r="A125" t="s">
        <v>162</v>
      </c>
      <c r="B125" s="1">
        <v>45995</v>
      </c>
      <c r="C125" t="s">
        <v>40</v>
      </c>
      <c r="D125" t="s">
        <v>19</v>
      </c>
      <c r="E125" t="s">
        <v>20</v>
      </c>
      <c r="F125" t="s">
        <v>31</v>
      </c>
      <c r="G125" t="s">
        <v>55</v>
      </c>
      <c r="H125">
        <v>8</v>
      </c>
      <c r="I125">
        <v>425.94</v>
      </c>
      <c r="J125">
        <v>0.15</v>
      </c>
      <c r="K125">
        <v>3407.52</v>
      </c>
      <c r="L125">
        <v>524.84</v>
      </c>
    </row>
    <row r="126" spans="1:12" x14ac:dyDescent="0.3">
      <c r="A126" t="s">
        <v>163</v>
      </c>
      <c r="B126" s="1">
        <v>45909</v>
      </c>
      <c r="C126" t="s">
        <v>43</v>
      </c>
      <c r="D126" t="s">
        <v>66</v>
      </c>
      <c r="E126" t="s">
        <v>15</v>
      </c>
      <c r="F126" t="s">
        <v>16</v>
      </c>
      <c r="G126" t="s">
        <v>36</v>
      </c>
      <c r="H126">
        <v>2</v>
      </c>
      <c r="I126">
        <v>76.2</v>
      </c>
      <c r="J126">
        <v>0.2</v>
      </c>
      <c r="K126">
        <v>152.4</v>
      </c>
      <c r="L126">
        <v>18.02</v>
      </c>
    </row>
    <row r="127" spans="1:12" x14ac:dyDescent="0.3">
      <c r="A127" t="s">
        <v>164</v>
      </c>
      <c r="B127" s="1">
        <v>45938</v>
      </c>
      <c r="C127" t="s">
        <v>40</v>
      </c>
      <c r="D127" t="s">
        <v>29</v>
      </c>
      <c r="E127" t="s">
        <v>26</v>
      </c>
      <c r="F127" t="s">
        <v>31</v>
      </c>
      <c r="G127" t="s">
        <v>55</v>
      </c>
      <c r="H127">
        <v>8</v>
      </c>
      <c r="I127">
        <v>260.19</v>
      </c>
      <c r="J127">
        <v>0.15</v>
      </c>
      <c r="K127">
        <v>2081.52</v>
      </c>
      <c r="L127">
        <v>15.18</v>
      </c>
    </row>
    <row r="128" spans="1:12" x14ac:dyDescent="0.3">
      <c r="A128" t="s">
        <v>165</v>
      </c>
      <c r="B128" s="1">
        <v>46017</v>
      </c>
      <c r="C128" t="s">
        <v>13</v>
      </c>
      <c r="D128" t="s">
        <v>14</v>
      </c>
      <c r="E128" t="s">
        <v>26</v>
      </c>
      <c r="F128" t="s">
        <v>21</v>
      </c>
      <c r="G128" t="s">
        <v>27</v>
      </c>
      <c r="H128">
        <v>7</v>
      </c>
      <c r="I128">
        <v>234</v>
      </c>
      <c r="J128">
        <v>0.05</v>
      </c>
      <c r="K128">
        <v>1638</v>
      </c>
      <c r="L128">
        <v>214.5</v>
      </c>
    </row>
    <row r="129" spans="1:12" x14ac:dyDescent="0.3">
      <c r="A129" t="s">
        <v>166</v>
      </c>
      <c r="B129" s="1">
        <v>45890</v>
      </c>
      <c r="C129" t="s">
        <v>43</v>
      </c>
      <c r="D129" t="s">
        <v>34</v>
      </c>
      <c r="E129" t="s">
        <v>20</v>
      </c>
      <c r="F129" t="s">
        <v>31</v>
      </c>
      <c r="G129" t="s">
        <v>55</v>
      </c>
      <c r="H129">
        <v>7</v>
      </c>
      <c r="I129">
        <v>166.57</v>
      </c>
      <c r="J129">
        <v>0.1</v>
      </c>
      <c r="K129">
        <v>1165.99</v>
      </c>
      <c r="L129">
        <v>114.94</v>
      </c>
    </row>
    <row r="130" spans="1:12" x14ac:dyDescent="0.3">
      <c r="A130" t="s">
        <v>167</v>
      </c>
      <c r="B130" s="1">
        <v>45736</v>
      </c>
      <c r="C130" t="s">
        <v>43</v>
      </c>
      <c r="D130" t="s">
        <v>38</v>
      </c>
      <c r="E130" t="s">
        <v>20</v>
      </c>
      <c r="F130" t="s">
        <v>16</v>
      </c>
      <c r="G130" t="s">
        <v>36</v>
      </c>
      <c r="H130">
        <v>7</v>
      </c>
      <c r="I130">
        <v>61.83</v>
      </c>
      <c r="J130">
        <v>0.1</v>
      </c>
      <c r="K130">
        <v>432.81</v>
      </c>
      <c r="L130">
        <v>90</v>
      </c>
    </row>
    <row r="131" spans="1:12" x14ac:dyDescent="0.3">
      <c r="A131" t="s">
        <v>168</v>
      </c>
      <c r="B131" s="1">
        <v>45942</v>
      </c>
      <c r="C131" t="s">
        <v>13</v>
      </c>
      <c r="D131" t="s">
        <v>34</v>
      </c>
      <c r="E131" t="s">
        <v>26</v>
      </c>
      <c r="F131" t="s">
        <v>21</v>
      </c>
      <c r="G131" t="s">
        <v>27</v>
      </c>
      <c r="H131">
        <v>2</v>
      </c>
      <c r="I131">
        <v>214.24</v>
      </c>
      <c r="J131">
        <v>0.15</v>
      </c>
      <c r="K131">
        <v>428.48</v>
      </c>
      <c r="L131">
        <v>85.49</v>
      </c>
    </row>
    <row r="132" spans="1:12" x14ac:dyDescent="0.3">
      <c r="A132" t="s">
        <v>169</v>
      </c>
      <c r="B132" s="1">
        <v>45684</v>
      </c>
      <c r="C132" t="s">
        <v>40</v>
      </c>
      <c r="D132" t="s">
        <v>38</v>
      </c>
      <c r="E132" t="s">
        <v>15</v>
      </c>
      <c r="F132" t="s">
        <v>21</v>
      </c>
      <c r="G132" t="s">
        <v>22</v>
      </c>
      <c r="H132">
        <v>4</v>
      </c>
      <c r="I132">
        <v>90.04</v>
      </c>
      <c r="J132">
        <v>0.15</v>
      </c>
      <c r="K132">
        <v>360.16</v>
      </c>
      <c r="L132">
        <v>13.89</v>
      </c>
    </row>
    <row r="133" spans="1:12" x14ac:dyDescent="0.3">
      <c r="A133" t="s">
        <v>170</v>
      </c>
      <c r="B133" s="1">
        <v>45713</v>
      </c>
      <c r="C133" t="s">
        <v>40</v>
      </c>
      <c r="D133" t="s">
        <v>29</v>
      </c>
      <c r="E133" t="s">
        <v>20</v>
      </c>
      <c r="F133" t="s">
        <v>21</v>
      </c>
      <c r="G133" t="s">
        <v>22</v>
      </c>
      <c r="H133">
        <v>4</v>
      </c>
      <c r="I133">
        <v>406.5</v>
      </c>
      <c r="J133">
        <v>0.2</v>
      </c>
      <c r="K133">
        <v>1626</v>
      </c>
      <c r="L133">
        <v>331.11</v>
      </c>
    </row>
    <row r="134" spans="1:12" x14ac:dyDescent="0.3">
      <c r="A134" t="s">
        <v>171</v>
      </c>
      <c r="B134" s="1">
        <v>45976</v>
      </c>
      <c r="C134" t="s">
        <v>13</v>
      </c>
      <c r="D134" t="s">
        <v>29</v>
      </c>
      <c r="E134" t="s">
        <v>26</v>
      </c>
      <c r="F134" t="s">
        <v>21</v>
      </c>
      <c r="G134" t="s">
        <v>27</v>
      </c>
      <c r="H134">
        <v>1</v>
      </c>
      <c r="I134">
        <v>102.5</v>
      </c>
      <c r="J134">
        <v>0.1</v>
      </c>
      <c r="K134">
        <v>102.5</v>
      </c>
      <c r="L134">
        <v>24.13</v>
      </c>
    </row>
    <row r="135" spans="1:12" x14ac:dyDescent="0.3">
      <c r="A135" t="s">
        <v>172</v>
      </c>
      <c r="B135" s="1">
        <v>45837</v>
      </c>
      <c r="C135" t="s">
        <v>13</v>
      </c>
      <c r="D135" t="s">
        <v>25</v>
      </c>
      <c r="E135" t="s">
        <v>26</v>
      </c>
      <c r="F135" t="s">
        <v>16</v>
      </c>
      <c r="G135" t="s">
        <v>36</v>
      </c>
      <c r="H135">
        <v>2</v>
      </c>
      <c r="I135">
        <v>83.81</v>
      </c>
      <c r="J135">
        <v>0</v>
      </c>
      <c r="K135">
        <v>167.62</v>
      </c>
      <c r="L135">
        <v>12.23</v>
      </c>
    </row>
    <row r="136" spans="1:12" x14ac:dyDescent="0.3">
      <c r="A136" t="s">
        <v>173</v>
      </c>
      <c r="B136" s="1">
        <v>45929</v>
      </c>
      <c r="C136" t="s">
        <v>24</v>
      </c>
      <c r="D136" t="s">
        <v>34</v>
      </c>
      <c r="E136" t="s">
        <v>15</v>
      </c>
      <c r="F136" t="s">
        <v>31</v>
      </c>
      <c r="G136" t="s">
        <v>32</v>
      </c>
      <c r="H136">
        <v>3</v>
      </c>
      <c r="I136">
        <v>194.48</v>
      </c>
      <c r="J136">
        <v>0.1</v>
      </c>
      <c r="K136">
        <v>583.44000000000005</v>
      </c>
      <c r="L136">
        <v>116.23</v>
      </c>
    </row>
    <row r="137" spans="1:12" x14ac:dyDescent="0.3">
      <c r="A137" t="s">
        <v>174</v>
      </c>
      <c r="B137" s="1">
        <v>45948</v>
      </c>
      <c r="C137" t="s">
        <v>13</v>
      </c>
      <c r="D137" t="s">
        <v>19</v>
      </c>
      <c r="E137" t="s">
        <v>20</v>
      </c>
      <c r="F137" t="s">
        <v>16</v>
      </c>
      <c r="G137" t="s">
        <v>36</v>
      </c>
      <c r="H137">
        <v>2</v>
      </c>
      <c r="I137">
        <v>146.97</v>
      </c>
      <c r="J137">
        <v>0.15</v>
      </c>
      <c r="K137">
        <v>293.94</v>
      </c>
      <c r="L137">
        <v>30.54</v>
      </c>
    </row>
    <row r="138" spans="1:12" x14ac:dyDescent="0.3">
      <c r="A138" t="s">
        <v>175</v>
      </c>
      <c r="B138" s="1">
        <v>45884</v>
      </c>
      <c r="C138" t="s">
        <v>43</v>
      </c>
      <c r="D138" t="s">
        <v>38</v>
      </c>
      <c r="E138" t="s">
        <v>26</v>
      </c>
      <c r="F138" t="s">
        <v>31</v>
      </c>
      <c r="G138" t="s">
        <v>59</v>
      </c>
      <c r="H138">
        <v>6</v>
      </c>
      <c r="I138">
        <v>223.51</v>
      </c>
      <c r="J138">
        <v>0.1</v>
      </c>
      <c r="K138">
        <v>1341.06</v>
      </c>
      <c r="L138">
        <v>234.09</v>
      </c>
    </row>
    <row r="139" spans="1:12" x14ac:dyDescent="0.3">
      <c r="A139" t="s">
        <v>176</v>
      </c>
      <c r="B139" s="1">
        <v>45961</v>
      </c>
      <c r="C139" t="s">
        <v>43</v>
      </c>
      <c r="D139" t="s">
        <v>19</v>
      </c>
      <c r="E139" t="s">
        <v>15</v>
      </c>
      <c r="F139" t="s">
        <v>21</v>
      </c>
      <c r="G139" t="s">
        <v>27</v>
      </c>
      <c r="H139">
        <v>4</v>
      </c>
      <c r="I139">
        <v>206.7</v>
      </c>
      <c r="J139">
        <v>0.2</v>
      </c>
      <c r="K139">
        <v>826.8</v>
      </c>
      <c r="L139">
        <v>-21.75</v>
      </c>
    </row>
    <row r="140" spans="1:12" x14ac:dyDescent="0.3">
      <c r="A140" t="s">
        <v>177</v>
      </c>
      <c r="B140" s="1">
        <v>45762</v>
      </c>
      <c r="C140" t="s">
        <v>40</v>
      </c>
      <c r="D140" t="s">
        <v>29</v>
      </c>
      <c r="E140" t="s">
        <v>15</v>
      </c>
      <c r="F140" t="s">
        <v>16</v>
      </c>
      <c r="G140" t="s">
        <v>36</v>
      </c>
      <c r="H140">
        <v>6</v>
      </c>
      <c r="I140">
        <v>73.19</v>
      </c>
      <c r="J140">
        <v>0.15</v>
      </c>
      <c r="K140">
        <v>439.14</v>
      </c>
      <c r="L140">
        <v>74.33</v>
      </c>
    </row>
    <row r="141" spans="1:12" x14ac:dyDescent="0.3">
      <c r="A141" t="s">
        <v>178</v>
      </c>
      <c r="B141" s="1">
        <v>45747</v>
      </c>
      <c r="C141" t="s">
        <v>24</v>
      </c>
      <c r="D141" t="s">
        <v>14</v>
      </c>
      <c r="E141" t="s">
        <v>26</v>
      </c>
      <c r="F141" t="s">
        <v>31</v>
      </c>
      <c r="G141" t="s">
        <v>55</v>
      </c>
      <c r="H141">
        <v>6</v>
      </c>
      <c r="I141">
        <v>49.96</v>
      </c>
      <c r="J141">
        <v>0</v>
      </c>
      <c r="K141">
        <v>299.76</v>
      </c>
      <c r="L141">
        <v>47.68</v>
      </c>
    </row>
    <row r="142" spans="1:12" x14ac:dyDescent="0.3">
      <c r="A142" t="s">
        <v>179</v>
      </c>
      <c r="B142" s="1">
        <v>45893</v>
      </c>
      <c r="C142" t="s">
        <v>13</v>
      </c>
      <c r="D142" t="s">
        <v>25</v>
      </c>
      <c r="E142" t="s">
        <v>15</v>
      </c>
      <c r="F142" t="s">
        <v>31</v>
      </c>
      <c r="G142" t="s">
        <v>55</v>
      </c>
      <c r="H142">
        <v>7</v>
      </c>
      <c r="I142">
        <v>155.41</v>
      </c>
      <c r="J142">
        <v>0.15</v>
      </c>
      <c r="K142">
        <v>1087.8699999999999</v>
      </c>
      <c r="L142">
        <v>-13.37</v>
      </c>
    </row>
    <row r="143" spans="1:12" x14ac:dyDescent="0.3">
      <c r="A143" t="s">
        <v>180</v>
      </c>
      <c r="B143" s="1">
        <v>45824</v>
      </c>
      <c r="C143" t="s">
        <v>24</v>
      </c>
      <c r="D143" t="s">
        <v>34</v>
      </c>
      <c r="E143" t="s">
        <v>26</v>
      </c>
      <c r="F143" t="s">
        <v>21</v>
      </c>
      <c r="G143" t="s">
        <v>22</v>
      </c>
      <c r="H143">
        <v>2</v>
      </c>
      <c r="I143">
        <v>226.81</v>
      </c>
      <c r="J143">
        <v>0</v>
      </c>
      <c r="K143">
        <v>453.62</v>
      </c>
      <c r="L143">
        <v>50.27</v>
      </c>
    </row>
    <row r="144" spans="1:12" x14ac:dyDescent="0.3">
      <c r="A144" t="s">
        <v>181</v>
      </c>
      <c r="B144" s="1">
        <v>45959</v>
      </c>
      <c r="C144" t="s">
        <v>43</v>
      </c>
      <c r="D144" t="s">
        <v>29</v>
      </c>
      <c r="E144" t="s">
        <v>15</v>
      </c>
      <c r="F144" t="s">
        <v>21</v>
      </c>
      <c r="G144" t="s">
        <v>48</v>
      </c>
      <c r="H144">
        <v>6</v>
      </c>
      <c r="I144">
        <v>122.46</v>
      </c>
      <c r="J144">
        <v>0.05</v>
      </c>
      <c r="K144">
        <v>734.76</v>
      </c>
      <c r="L144">
        <v>34.24</v>
      </c>
    </row>
    <row r="145" spans="1:12" x14ac:dyDescent="0.3">
      <c r="A145" t="s">
        <v>182</v>
      </c>
      <c r="B145" s="1">
        <v>45982</v>
      </c>
      <c r="C145" t="s">
        <v>13</v>
      </c>
      <c r="D145" t="s">
        <v>34</v>
      </c>
      <c r="E145" t="s">
        <v>20</v>
      </c>
      <c r="F145" t="s">
        <v>21</v>
      </c>
      <c r="G145" t="s">
        <v>27</v>
      </c>
      <c r="H145">
        <v>6</v>
      </c>
      <c r="I145">
        <v>367.78</v>
      </c>
      <c r="J145">
        <v>0.05</v>
      </c>
      <c r="K145">
        <v>2206.6799999999998</v>
      </c>
      <c r="L145">
        <v>191.03</v>
      </c>
    </row>
    <row r="146" spans="1:12" x14ac:dyDescent="0.3">
      <c r="A146" t="s">
        <v>183</v>
      </c>
      <c r="B146" s="1">
        <v>45732</v>
      </c>
      <c r="C146" t="s">
        <v>40</v>
      </c>
      <c r="D146" t="s">
        <v>66</v>
      </c>
      <c r="E146" t="s">
        <v>26</v>
      </c>
      <c r="F146" t="s">
        <v>16</v>
      </c>
      <c r="G146" t="s">
        <v>36</v>
      </c>
      <c r="H146">
        <v>2</v>
      </c>
      <c r="I146">
        <v>100.92</v>
      </c>
      <c r="J146">
        <v>0.15</v>
      </c>
      <c r="K146">
        <v>201.84</v>
      </c>
      <c r="L146">
        <v>19.88</v>
      </c>
    </row>
    <row r="147" spans="1:12" x14ac:dyDescent="0.3">
      <c r="A147" t="s">
        <v>184</v>
      </c>
      <c r="B147" s="1">
        <v>45946</v>
      </c>
      <c r="C147" t="s">
        <v>43</v>
      </c>
      <c r="D147" t="s">
        <v>34</v>
      </c>
      <c r="E147" t="s">
        <v>26</v>
      </c>
      <c r="F147" t="s">
        <v>21</v>
      </c>
      <c r="G147" t="s">
        <v>27</v>
      </c>
      <c r="H147">
        <v>6</v>
      </c>
      <c r="I147">
        <v>88.21</v>
      </c>
      <c r="J147">
        <v>0</v>
      </c>
      <c r="K147">
        <v>529.26</v>
      </c>
      <c r="L147">
        <v>88.51</v>
      </c>
    </row>
    <row r="148" spans="1:12" x14ac:dyDescent="0.3">
      <c r="A148" t="s">
        <v>185</v>
      </c>
      <c r="B148" s="1">
        <v>45981</v>
      </c>
      <c r="C148" t="s">
        <v>40</v>
      </c>
      <c r="D148" t="s">
        <v>34</v>
      </c>
      <c r="E148" t="s">
        <v>20</v>
      </c>
      <c r="F148" t="s">
        <v>31</v>
      </c>
      <c r="G148" t="s">
        <v>55</v>
      </c>
      <c r="H148">
        <v>2</v>
      </c>
      <c r="I148">
        <v>165.55</v>
      </c>
      <c r="J148">
        <v>0.15</v>
      </c>
      <c r="K148">
        <v>331.1</v>
      </c>
      <c r="L148">
        <v>-2.68</v>
      </c>
    </row>
    <row r="149" spans="1:12" x14ac:dyDescent="0.3">
      <c r="A149" t="s">
        <v>186</v>
      </c>
      <c r="B149" s="1">
        <v>45846</v>
      </c>
      <c r="C149" t="s">
        <v>40</v>
      </c>
      <c r="D149" t="s">
        <v>25</v>
      </c>
      <c r="E149" t="s">
        <v>20</v>
      </c>
      <c r="F149" t="s">
        <v>16</v>
      </c>
      <c r="G149" t="s">
        <v>17</v>
      </c>
      <c r="H149">
        <v>8</v>
      </c>
      <c r="I149">
        <v>296.45999999999998</v>
      </c>
      <c r="J149">
        <v>0</v>
      </c>
      <c r="K149">
        <v>2371.6799999999998</v>
      </c>
      <c r="L149">
        <v>385.24</v>
      </c>
    </row>
    <row r="150" spans="1:12" x14ac:dyDescent="0.3">
      <c r="A150" t="s">
        <v>187</v>
      </c>
      <c r="B150" s="1">
        <v>45950</v>
      </c>
      <c r="C150" t="s">
        <v>24</v>
      </c>
      <c r="D150" t="s">
        <v>66</v>
      </c>
      <c r="E150" t="s">
        <v>15</v>
      </c>
      <c r="F150" t="s">
        <v>31</v>
      </c>
      <c r="G150" t="s">
        <v>55</v>
      </c>
      <c r="H150">
        <v>1</v>
      </c>
      <c r="I150">
        <v>233.5</v>
      </c>
      <c r="J150">
        <v>0.1</v>
      </c>
      <c r="K150">
        <v>233.5</v>
      </c>
      <c r="L150">
        <v>58.51</v>
      </c>
    </row>
    <row r="151" spans="1:12" x14ac:dyDescent="0.3">
      <c r="A151" t="s">
        <v>188</v>
      </c>
      <c r="B151" s="1">
        <v>45701</v>
      </c>
      <c r="C151" t="s">
        <v>24</v>
      </c>
      <c r="D151" t="s">
        <v>46</v>
      </c>
      <c r="E151" t="s">
        <v>26</v>
      </c>
      <c r="F151" t="s">
        <v>16</v>
      </c>
      <c r="G151" t="s">
        <v>36</v>
      </c>
      <c r="H151">
        <v>8</v>
      </c>
      <c r="I151">
        <v>269.17</v>
      </c>
      <c r="J151">
        <v>0.2</v>
      </c>
      <c r="K151">
        <v>2153.36</v>
      </c>
      <c r="L151">
        <v>-0.67</v>
      </c>
    </row>
    <row r="152" spans="1:12" x14ac:dyDescent="0.3">
      <c r="A152" t="s">
        <v>189</v>
      </c>
      <c r="B152" s="1">
        <v>45848</v>
      </c>
      <c r="C152" t="s">
        <v>40</v>
      </c>
      <c r="D152" t="s">
        <v>19</v>
      </c>
      <c r="E152" t="s">
        <v>15</v>
      </c>
      <c r="F152" t="s">
        <v>31</v>
      </c>
      <c r="G152" t="s">
        <v>32</v>
      </c>
      <c r="H152">
        <v>6</v>
      </c>
      <c r="I152">
        <v>46.97</v>
      </c>
      <c r="J152">
        <v>0</v>
      </c>
      <c r="K152">
        <v>281.82</v>
      </c>
      <c r="L152">
        <v>53.4</v>
      </c>
    </row>
    <row r="153" spans="1:12" x14ac:dyDescent="0.3">
      <c r="A153" t="s">
        <v>190</v>
      </c>
      <c r="B153" s="1">
        <v>45855</v>
      </c>
      <c r="C153" t="s">
        <v>40</v>
      </c>
      <c r="D153" t="s">
        <v>66</v>
      </c>
      <c r="E153" t="s">
        <v>26</v>
      </c>
      <c r="F153" t="s">
        <v>31</v>
      </c>
      <c r="G153" t="s">
        <v>55</v>
      </c>
      <c r="H153">
        <v>6</v>
      </c>
      <c r="I153">
        <v>54.53</v>
      </c>
      <c r="J153">
        <v>0.05</v>
      </c>
      <c r="K153">
        <v>327.18</v>
      </c>
      <c r="L153">
        <v>83.98</v>
      </c>
    </row>
    <row r="154" spans="1:12" x14ac:dyDescent="0.3">
      <c r="A154" t="s">
        <v>191</v>
      </c>
      <c r="B154" s="1">
        <v>45816</v>
      </c>
      <c r="C154" t="s">
        <v>43</v>
      </c>
      <c r="D154" t="s">
        <v>38</v>
      </c>
      <c r="E154" t="s">
        <v>26</v>
      </c>
      <c r="F154" t="s">
        <v>16</v>
      </c>
      <c r="G154" t="s">
        <v>17</v>
      </c>
      <c r="H154">
        <v>5</v>
      </c>
      <c r="I154">
        <v>286.08</v>
      </c>
      <c r="J154">
        <v>0.1</v>
      </c>
      <c r="K154">
        <v>1430.4</v>
      </c>
      <c r="L154">
        <v>297.95</v>
      </c>
    </row>
    <row r="155" spans="1:12" x14ac:dyDescent="0.3">
      <c r="A155" t="s">
        <v>192</v>
      </c>
      <c r="B155" s="1">
        <v>46001</v>
      </c>
      <c r="C155" t="s">
        <v>13</v>
      </c>
      <c r="D155" t="s">
        <v>34</v>
      </c>
      <c r="E155" t="s">
        <v>15</v>
      </c>
      <c r="F155" t="s">
        <v>21</v>
      </c>
      <c r="G155" t="s">
        <v>27</v>
      </c>
      <c r="H155">
        <v>1</v>
      </c>
      <c r="I155">
        <v>190.86</v>
      </c>
      <c r="J155">
        <v>0.05</v>
      </c>
      <c r="K155">
        <v>190.86</v>
      </c>
      <c r="L155">
        <v>50.63</v>
      </c>
    </row>
    <row r="156" spans="1:12" x14ac:dyDescent="0.3">
      <c r="A156" t="s">
        <v>193</v>
      </c>
      <c r="B156" s="1">
        <v>45832</v>
      </c>
      <c r="C156" t="s">
        <v>43</v>
      </c>
      <c r="D156" t="s">
        <v>66</v>
      </c>
      <c r="E156" t="s">
        <v>20</v>
      </c>
      <c r="F156" t="s">
        <v>16</v>
      </c>
      <c r="G156" t="s">
        <v>36</v>
      </c>
      <c r="H156">
        <v>2</v>
      </c>
      <c r="I156">
        <v>158.46</v>
      </c>
      <c r="J156">
        <v>0</v>
      </c>
      <c r="K156">
        <v>316.92</v>
      </c>
      <c r="L156">
        <v>56.07</v>
      </c>
    </row>
    <row r="157" spans="1:12" x14ac:dyDescent="0.3">
      <c r="A157" t="s">
        <v>194</v>
      </c>
      <c r="B157" s="1">
        <v>45934</v>
      </c>
      <c r="C157" t="s">
        <v>13</v>
      </c>
      <c r="D157" t="s">
        <v>66</v>
      </c>
      <c r="E157" t="s">
        <v>26</v>
      </c>
      <c r="F157" t="s">
        <v>21</v>
      </c>
      <c r="G157" t="s">
        <v>22</v>
      </c>
      <c r="H157">
        <v>7</v>
      </c>
      <c r="I157">
        <v>89.81</v>
      </c>
      <c r="J157">
        <v>0.05</v>
      </c>
      <c r="K157">
        <v>628.66999999999996</v>
      </c>
      <c r="L157">
        <v>147.94999999999999</v>
      </c>
    </row>
    <row r="158" spans="1:12" x14ac:dyDescent="0.3">
      <c r="A158" t="s">
        <v>195</v>
      </c>
      <c r="B158" s="1">
        <v>45977</v>
      </c>
      <c r="C158" t="s">
        <v>24</v>
      </c>
      <c r="D158" t="s">
        <v>25</v>
      </c>
      <c r="E158" t="s">
        <v>20</v>
      </c>
      <c r="F158" t="s">
        <v>21</v>
      </c>
      <c r="G158" t="s">
        <v>22</v>
      </c>
      <c r="H158">
        <v>6</v>
      </c>
      <c r="I158">
        <v>343.04</v>
      </c>
      <c r="J158">
        <v>0.05</v>
      </c>
      <c r="K158">
        <v>2058.2399999999998</v>
      </c>
      <c r="L158">
        <v>555.51</v>
      </c>
    </row>
    <row r="159" spans="1:12" x14ac:dyDescent="0.3">
      <c r="A159" t="s">
        <v>196</v>
      </c>
      <c r="B159" s="1">
        <v>45970</v>
      </c>
      <c r="C159" t="s">
        <v>40</v>
      </c>
      <c r="D159" t="s">
        <v>14</v>
      </c>
      <c r="E159" t="s">
        <v>20</v>
      </c>
      <c r="F159" t="s">
        <v>21</v>
      </c>
      <c r="G159" t="s">
        <v>22</v>
      </c>
      <c r="H159">
        <v>5</v>
      </c>
      <c r="I159">
        <v>483.31</v>
      </c>
      <c r="J159">
        <v>0.15</v>
      </c>
      <c r="K159">
        <v>2416.5500000000002</v>
      </c>
      <c r="L159">
        <v>503.84</v>
      </c>
    </row>
    <row r="160" spans="1:12" x14ac:dyDescent="0.3">
      <c r="A160" t="s">
        <v>197</v>
      </c>
      <c r="B160" s="1">
        <v>45757</v>
      </c>
      <c r="C160" t="s">
        <v>40</v>
      </c>
      <c r="D160" t="s">
        <v>46</v>
      </c>
      <c r="E160" t="s">
        <v>15</v>
      </c>
      <c r="F160" t="s">
        <v>21</v>
      </c>
      <c r="G160" t="s">
        <v>27</v>
      </c>
      <c r="H160">
        <v>5</v>
      </c>
      <c r="I160">
        <v>392.39</v>
      </c>
      <c r="J160">
        <v>0.2</v>
      </c>
      <c r="K160">
        <v>1961.95</v>
      </c>
      <c r="L160">
        <v>180.23</v>
      </c>
    </row>
    <row r="161" spans="1:12" x14ac:dyDescent="0.3">
      <c r="A161" t="s">
        <v>198</v>
      </c>
      <c r="B161" s="1">
        <v>45740</v>
      </c>
      <c r="C161" t="s">
        <v>24</v>
      </c>
      <c r="D161" t="s">
        <v>19</v>
      </c>
      <c r="E161" t="s">
        <v>15</v>
      </c>
      <c r="F161" t="s">
        <v>21</v>
      </c>
      <c r="G161" t="s">
        <v>48</v>
      </c>
      <c r="H161">
        <v>8</v>
      </c>
      <c r="I161">
        <v>438.95</v>
      </c>
      <c r="J161">
        <v>0.2</v>
      </c>
      <c r="K161">
        <v>3511.6</v>
      </c>
      <c r="L161">
        <v>679.75</v>
      </c>
    </row>
    <row r="162" spans="1:12" x14ac:dyDescent="0.3">
      <c r="A162" t="s">
        <v>199</v>
      </c>
      <c r="B162" s="1">
        <v>46022</v>
      </c>
      <c r="C162" t="s">
        <v>13</v>
      </c>
      <c r="D162" t="s">
        <v>29</v>
      </c>
      <c r="E162" t="s">
        <v>20</v>
      </c>
      <c r="F162" t="s">
        <v>31</v>
      </c>
      <c r="G162" t="s">
        <v>59</v>
      </c>
      <c r="H162">
        <v>8</v>
      </c>
      <c r="I162">
        <v>454.07</v>
      </c>
      <c r="J162">
        <v>0.05</v>
      </c>
      <c r="K162">
        <v>3632.56</v>
      </c>
      <c r="L162">
        <v>854.6</v>
      </c>
    </row>
    <row r="163" spans="1:12" x14ac:dyDescent="0.3">
      <c r="A163" t="s">
        <v>200</v>
      </c>
      <c r="B163" s="1">
        <v>45704</v>
      </c>
      <c r="C163" t="s">
        <v>24</v>
      </c>
      <c r="D163" t="s">
        <v>25</v>
      </c>
      <c r="E163" t="s">
        <v>20</v>
      </c>
      <c r="F163" t="s">
        <v>31</v>
      </c>
      <c r="G163" t="s">
        <v>32</v>
      </c>
      <c r="H163">
        <v>1</v>
      </c>
      <c r="I163">
        <v>207.28</v>
      </c>
      <c r="J163">
        <v>0.1</v>
      </c>
      <c r="K163">
        <v>207.28</v>
      </c>
      <c r="L163">
        <v>13.25</v>
      </c>
    </row>
    <row r="164" spans="1:12" x14ac:dyDescent="0.3">
      <c r="A164" t="s">
        <v>201</v>
      </c>
      <c r="B164" s="1">
        <v>45699</v>
      </c>
      <c r="C164" t="s">
        <v>40</v>
      </c>
      <c r="D164" t="s">
        <v>38</v>
      </c>
      <c r="E164" t="s">
        <v>15</v>
      </c>
      <c r="F164" t="s">
        <v>16</v>
      </c>
      <c r="G164" t="s">
        <v>36</v>
      </c>
      <c r="H164">
        <v>6</v>
      </c>
      <c r="I164">
        <v>398.82</v>
      </c>
      <c r="J164">
        <v>0.05</v>
      </c>
      <c r="K164">
        <v>2392.92</v>
      </c>
      <c r="L164">
        <v>88.72</v>
      </c>
    </row>
    <row r="165" spans="1:12" x14ac:dyDescent="0.3">
      <c r="A165" t="s">
        <v>202</v>
      </c>
      <c r="B165" s="1">
        <v>45899</v>
      </c>
      <c r="C165" t="s">
        <v>24</v>
      </c>
      <c r="D165" t="s">
        <v>19</v>
      </c>
      <c r="E165" t="s">
        <v>15</v>
      </c>
      <c r="F165" t="s">
        <v>21</v>
      </c>
      <c r="G165" t="s">
        <v>22</v>
      </c>
      <c r="H165">
        <v>2</v>
      </c>
      <c r="I165">
        <v>24.22</v>
      </c>
      <c r="J165">
        <v>0.05</v>
      </c>
      <c r="K165">
        <v>48.44</v>
      </c>
      <c r="L165">
        <v>11.44</v>
      </c>
    </row>
    <row r="166" spans="1:12" x14ac:dyDescent="0.3">
      <c r="A166" t="s">
        <v>203</v>
      </c>
      <c r="B166" s="1">
        <v>45938</v>
      </c>
      <c r="C166" t="s">
        <v>43</v>
      </c>
      <c r="D166" t="s">
        <v>29</v>
      </c>
      <c r="E166" t="s">
        <v>20</v>
      </c>
      <c r="F166" t="s">
        <v>16</v>
      </c>
      <c r="G166" t="s">
        <v>44</v>
      </c>
      <c r="H166">
        <v>2</v>
      </c>
      <c r="I166">
        <v>38.159999999999997</v>
      </c>
      <c r="J166">
        <v>0.15</v>
      </c>
      <c r="K166">
        <v>76.319999999999993</v>
      </c>
      <c r="L166">
        <v>10.86</v>
      </c>
    </row>
    <row r="167" spans="1:12" x14ac:dyDescent="0.3">
      <c r="A167" t="s">
        <v>204</v>
      </c>
      <c r="B167" s="1">
        <v>45976</v>
      </c>
      <c r="C167" t="s">
        <v>43</v>
      </c>
      <c r="D167" t="s">
        <v>19</v>
      </c>
      <c r="E167" t="s">
        <v>15</v>
      </c>
      <c r="F167" t="s">
        <v>16</v>
      </c>
      <c r="G167" t="s">
        <v>36</v>
      </c>
      <c r="H167">
        <v>4</v>
      </c>
      <c r="I167">
        <v>363.49</v>
      </c>
      <c r="J167">
        <v>0.1</v>
      </c>
      <c r="K167">
        <v>1453.96</v>
      </c>
      <c r="L167">
        <v>163.29</v>
      </c>
    </row>
    <row r="168" spans="1:12" x14ac:dyDescent="0.3">
      <c r="A168" t="s">
        <v>205</v>
      </c>
      <c r="B168" s="1">
        <v>45972</v>
      </c>
      <c r="C168" t="s">
        <v>40</v>
      </c>
      <c r="D168" t="s">
        <v>66</v>
      </c>
      <c r="E168" t="s">
        <v>15</v>
      </c>
      <c r="F168" t="s">
        <v>16</v>
      </c>
      <c r="G168" t="s">
        <v>17</v>
      </c>
      <c r="H168">
        <v>2</v>
      </c>
      <c r="I168">
        <v>268.89</v>
      </c>
      <c r="J168">
        <v>0.1</v>
      </c>
      <c r="K168">
        <v>537.78</v>
      </c>
      <c r="L168">
        <v>11.79</v>
      </c>
    </row>
    <row r="169" spans="1:12" x14ac:dyDescent="0.3">
      <c r="A169" t="s">
        <v>206</v>
      </c>
      <c r="B169" s="1">
        <v>45927</v>
      </c>
      <c r="C169" t="s">
        <v>13</v>
      </c>
      <c r="D169" t="s">
        <v>25</v>
      </c>
      <c r="E169" t="s">
        <v>20</v>
      </c>
      <c r="F169" t="s">
        <v>31</v>
      </c>
      <c r="G169" t="s">
        <v>32</v>
      </c>
      <c r="H169">
        <v>6</v>
      </c>
      <c r="I169">
        <v>138.02000000000001</v>
      </c>
      <c r="J169">
        <v>0</v>
      </c>
      <c r="K169">
        <v>828.12</v>
      </c>
      <c r="L169">
        <v>115.34</v>
      </c>
    </row>
    <row r="170" spans="1:12" x14ac:dyDescent="0.3">
      <c r="A170" t="s">
        <v>207</v>
      </c>
      <c r="B170" s="1">
        <v>45692</v>
      </c>
      <c r="C170" t="s">
        <v>40</v>
      </c>
      <c r="D170" t="s">
        <v>38</v>
      </c>
      <c r="E170" t="s">
        <v>26</v>
      </c>
      <c r="F170" t="s">
        <v>16</v>
      </c>
      <c r="G170" t="s">
        <v>17</v>
      </c>
      <c r="H170">
        <v>6</v>
      </c>
      <c r="I170">
        <v>79.7</v>
      </c>
      <c r="J170">
        <v>0.1</v>
      </c>
      <c r="K170">
        <v>478.2</v>
      </c>
      <c r="L170">
        <v>67.67</v>
      </c>
    </row>
    <row r="171" spans="1:12" x14ac:dyDescent="0.3">
      <c r="A171" t="s">
        <v>208</v>
      </c>
      <c r="B171" s="1">
        <v>45987</v>
      </c>
      <c r="C171" t="s">
        <v>24</v>
      </c>
      <c r="D171" t="s">
        <v>46</v>
      </c>
      <c r="E171" t="s">
        <v>26</v>
      </c>
      <c r="F171" t="s">
        <v>21</v>
      </c>
      <c r="G171" t="s">
        <v>22</v>
      </c>
      <c r="H171">
        <v>3</v>
      </c>
      <c r="I171">
        <v>408.58</v>
      </c>
      <c r="J171">
        <v>0</v>
      </c>
      <c r="K171">
        <v>1225.74</v>
      </c>
      <c r="L171">
        <v>280.70999999999998</v>
      </c>
    </row>
    <row r="172" spans="1:12" x14ac:dyDescent="0.3">
      <c r="A172" t="s">
        <v>209</v>
      </c>
      <c r="B172" s="1">
        <v>45892</v>
      </c>
      <c r="C172" t="s">
        <v>13</v>
      </c>
      <c r="D172" t="s">
        <v>14</v>
      </c>
      <c r="E172" t="s">
        <v>20</v>
      </c>
      <c r="F172" t="s">
        <v>31</v>
      </c>
      <c r="G172" t="s">
        <v>59</v>
      </c>
      <c r="H172">
        <v>1</v>
      </c>
      <c r="I172">
        <v>168.06</v>
      </c>
      <c r="J172">
        <v>0.1</v>
      </c>
      <c r="K172">
        <v>168.06</v>
      </c>
      <c r="L172">
        <v>22.49</v>
      </c>
    </row>
    <row r="173" spans="1:12" x14ac:dyDescent="0.3">
      <c r="A173" t="s">
        <v>210</v>
      </c>
      <c r="B173" s="1">
        <v>45936</v>
      </c>
      <c r="C173" t="s">
        <v>43</v>
      </c>
      <c r="D173" t="s">
        <v>14</v>
      </c>
      <c r="E173" t="s">
        <v>26</v>
      </c>
      <c r="F173" t="s">
        <v>31</v>
      </c>
      <c r="G173" t="s">
        <v>59</v>
      </c>
      <c r="H173">
        <v>5</v>
      </c>
      <c r="I173">
        <v>188.13</v>
      </c>
      <c r="J173">
        <v>0</v>
      </c>
      <c r="K173">
        <v>940.65</v>
      </c>
      <c r="L173">
        <v>250.64</v>
      </c>
    </row>
    <row r="174" spans="1:12" x14ac:dyDescent="0.3">
      <c r="A174" t="s">
        <v>211</v>
      </c>
      <c r="B174" s="1">
        <v>45827</v>
      </c>
      <c r="C174" t="s">
        <v>40</v>
      </c>
      <c r="D174" t="s">
        <v>25</v>
      </c>
      <c r="E174" t="s">
        <v>15</v>
      </c>
      <c r="F174" t="s">
        <v>16</v>
      </c>
      <c r="G174" t="s">
        <v>44</v>
      </c>
      <c r="H174">
        <v>8</v>
      </c>
      <c r="I174">
        <v>448.9</v>
      </c>
      <c r="J174">
        <v>0.15</v>
      </c>
      <c r="K174">
        <v>3591.2</v>
      </c>
      <c r="L174">
        <v>241.54</v>
      </c>
    </row>
    <row r="175" spans="1:12" x14ac:dyDescent="0.3">
      <c r="A175" t="s">
        <v>212</v>
      </c>
      <c r="B175" s="1">
        <v>45753</v>
      </c>
      <c r="C175" t="s">
        <v>43</v>
      </c>
      <c r="D175" t="s">
        <v>29</v>
      </c>
      <c r="E175" t="s">
        <v>15</v>
      </c>
      <c r="F175" t="s">
        <v>21</v>
      </c>
      <c r="G175" t="s">
        <v>22</v>
      </c>
      <c r="H175">
        <v>2</v>
      </c>
      <c r="I175">
        <v>367.63</v>
      </c>
      <c r="J175">
        <v>0</v>
      </c>
      <c r="K175">
        <v>735.26</v>
      </c>
      <c r="L175">
        <v>115.92</v>
      </c>
    </row>
    <row r="176" spans="1:12" x14ac:dyDescent="0.3">
      <c r="A176" t="s">
        <v>213</v>
      </c>
      <c r="B176" s="1">
        <v>45750</v>
      </c>
      <c r="C176" t="s">
        <v>40</v>
      </c>
      <c r="D176" t="s">
        <v>34</v>
      </c>
      <c r="E176" t="s">
        <v>20</v>
      </c>
      <c r="F176" t="s">
        <v>31</v>
      </c>
      <c r="G176" t="s">
        <v>59</v>
      </c>
      <c r="H176">
        <v>5</v>
      </c>
      <c r="I176">
        <v>163.65</v>
      </c>
      <c r="J176">
        <v>0.2</v>
      </c>
      <c r="K176">
        <v>818.25</v>
      </c>
      <c r="L176">
        <v>114.08</v>
      </c>
    </row>
    <row r="177" spans="1:12" x14ac:dyDescent="0.3">
      <c r="A177" t="s">
        <v>214</v>
      </c>
      <c r="B177" s="1">
        <v>45743</v>
      </c>
      <c r="C177" t="s">
        <v>43</v>
      </c>
      <c r="D177" t="s">
        <v>34</v>
      </c>
      <c r="E177" t="s">
        <v>20</v>
      </c>
      <c r="F177" t="s">
        <v>31</v>
      </c>
      <c r="G177" t="s">
        <v>32</v>
      </c>
      <c r="H177">
        <v>7</v>
      </c>
      <c r="I177">
        <v>148.16</v>
      </c>
      <c r="J177">
        <v>0</v>
      </c>
      <c r="K177">
        <v>1037.1199999999999</v>
      </c>
      <c r="L177">
        <v>71.31</v>
      </c>
    </row>
    <row r="178" spans="1:12" x14ac:dyDescent="0.3">
      <c r="A178" t="s">
        <v>215</v>
      </c>
      <c r="B178" s="1">
        <v>45984</v>
      </c>
      <c r="C178" t="s">
        <v>43</v>
      </c>
      <c r="D178" t="s">
        <v>66</v>
      </c>
      <c r="E178" t="s">
        <v>26</v>
      </c>
      <c r="F178" t="s">
        <v>31</v>
      </c>
      <c r="G178" t="s">
        <v>55</v>
      </c>
      <c r="H178">
        <v>1</v>
      </c>
      <c r="I178">
        <v>84.25</v>
      </c>
      <c r="J178">
        <v>0.2</v>
      </c>
      <c r="K178">
        <v>84.25</v>
      </c>
      <c r="L178">
        <v>10.91</v>
      </c>
    </row>
    <row r="179" spans="1:12" x14ac:dyDescent="0.3">
      <c r="A179" t="s">
        <v>216</v>
      </c>
      <c r="B179" s="1">
        <v>45882</v>
      </c>
      <c r="C179" t="s">
        <v>13</v>
      </c>
      <c r="D179" t="s">
        <v>34</v>
      </c>
      <c r="E179" t="s">
        <v>20</v>
      </c>
      <c r="F179" t="s">
        <v>16</v>
      </c>
      <c r="G179" t="s">
        <v>36</v>
      </c>
      <c r="H179">
        <v>6</v>
      </c>
      <c r="I179">
        <v>200.68</v>
      </c>
      <c r="J179">
        <v>0.2</v>
      </c>
      <c r="K179">
        <v>1204.08</v>
      </c>
      <c r="L179">
        <v>-38.409999999999997</v>
      </c>
    </row>
    <row r="180" spans="1:12" x14ac:dyDescent="0.3">
      <c r="A180" t="s">
        <v>217</v>
      </c>
      <c r="B180" s="1">
        <v>45736</v>
      </c>
      <c r="C180" t="s">
        <v>43</v>
      </c>
      <c r="D180" t="s">
        <v>38</v>
      </c>
      <c r="E180" t="s">
        <v>15</v>
      </c>
      <c r="F180" t="s">
        <v>31</v>
      </c>
      <c r="G180" t="s">
        <v>32</v>
      </c>
      <c r="H180">
        <v>3</v>
      </c>
      <c r="I180">
        <v>271.79000000000002</v>
      </c>
      <c r="J180">
        <v>0.15</v>
      </c>
      <c r="K180">
        <v>815.37</v>
      </c>
      <c r="L180">
        <v>49.82</v>
      </c>
    </row>
    <row r="181" spans="1:12" x14ac:dyDescent="0.3">
      <c r="A181" t="s">
        <v>218</v>
      </c>
      <c r="B181" s="1">
        <v>45800</v>
      </c>
      <c r="C181" t="s">
        <v>24</v>
      </c>
      <c r="D181" t="s">
        <v>66</v>
      </c>
      <c r="E181" t="s">
        <v>26</v>
      </c>
      <c r="F181" t="s">
        <v>16</v>
      </c>
      <c r="G181" t="s">
        <v>36</v>
      </c>
      <c r="H181">
        <v>8</v>
      </c>
      <c r="I181">
        <v>266.11</v>
      </c>
      <c r="J181">
        <v>0.2</v>
      </c>
      <c r="K181">
        <v>2128.88</v>
      </c>
      <c r="L181">
        <v>-22.48</v>
      </c>
    </row>
    <row r="182" spans="1:12" x14ac:dyDescent="0.3">
      <c r="A182" t="s">
        <v>219</v>
      </c>
      <c r="B182" s="1">
        <v>45791</v>
      </c>
      <c r="C182" t="s">
        <v>43</v>
      </c>
      <c r="D182" t="s">
        <v>46</v>
      </c>
      <c r="E182" t="s">
        <v>15</v>
      </c>
      <c r="F182" t="s">
        <v>16</v>
      </c>
      <c r="G182" t="s">
        <v>17</v>
      </c>
      <c r="H182">
        <v>4</v>
      </c>
      <c r="I182">
        <v>74.48</v>
      </c>
      <c r="J182">
        <v>0</v>
      </c>
      <c r="K182">
        <v>297.92</v>
      </c>
      <c r="L182">
        <v>48.56</v>
      </c>
    </row>
    <row r="183" spans="1:12" x14ac:dyDescent="0.3">
      <c r="A183" t="s">
        <v>220</v>
      </c>
      <c r="B183" s="1">
        <v>45885</v>
      </c>
      <c r="C183" t="s">
        <v>13</v>
      </c>
      <c r="D183" t="s">
        <v>34</v>
      </c>
      <c r="E183" t="s">
        <v>26</v>
      </c>
      <c r="F183" t="s">
        <v>21</v>
      </c>
      <c r="G183" t="s">
        <v>22</v>
      </c>
      <c r="H183">
        <v>2</v>
      </c>
      <c r="I183">
        <v>281.75</v>
      </c>
      <c r="J183">
        <v>0.1</v>
      </c>
      <c r="K183">
        <v>563.5</v>
      </c>
      <c r="L183">
        <v>128.38</v>
      </c>
    </row>
    <row r="184" spans="1:12" x14ac:dyDescent="0.3">
      <c r="A184" t="s">
        <v>221</v>
      </c>
      <c r="B184" s="1">
        <v>45738</v>
      </c>
      <c r="C184" t="s">
        <v>24</v>
      </c>
      <c r="D184" t="s">
        <v>38</v>
      </c>
      <c r="E184" t="s">
        <v>20</v>
      </c>
      <c r="F184" t="s">
        <v>31</v>
      </c>
      <c r="G184" t="s">
        <v>55</v>
      </c>
      <c r="H184">
        <v>4</v>
      </c>
      <c r="I184">
        <v>399.15</v>
      </c>
      <c r="J184">
        <v>0.05</v>
      </c>
      <c r="K184">
        <v>1596.6</v>
      </c>
      <c r="L184">
        <v>359.38</v>
      </c>
    </row>
    <row r="185" spans="1:12" x14ac:dyDescent="0.3">
      <c r="A185" t="s">
        <v>222</v>
      </c>
      <c r="B185" s="1">
        <v>45671</v>
      </c>
      <c r="C185" t="s">
        <v>40</v>
      </c>
      <c r="D185" t="s">
        <v>46</v>
      </c>
      <c r="E185" t="s">
        <v>15</v>
      </c>
      <c r="F185" t="s">
        <v>21</v>
      </c>
      <c r="G185" t="s">
        <v>27</v>
      </c>
      <c r="H185">
        <v>3</v>
      </c>
      <c r="I185">
        <v>311.79000000000002</v>
      </c>
      <c r="J185">
        <v>0</v>
      </c>
      <c r="K185">
        <v>935.37</v>
      </c>
      <c r="L185">
        <v>62.14</v>
      </c>
    </row>
    <row r="186" spans="1:12" x14ac:dyDescent="0.3">
      <c r="A186" t="s">
        <v>223</v>
      </c>
      <c r="B186" s="1">
        <v>45861</v>
      </c>
      <c r="C186" t="s">
        <v>43</v>
      </c>
      <c r="D186" t="s">
        <v>38</v>
      </c>
      <c r="E186" t="s">
        <v>15</v>
      </c>
      <c r="F186" t="s">
        <v>21</v>
      </c>
      <c r="G186" t="s">
        <v>22</v>
      </c>
      <c r="H186">
        <v>3</v>
      </c>
      <c r="I186">
        <v>486.6</v>
      </c>
      <c r="J186">
        <v>0</v>
      </c>
      <c r="K186">
        <v>1459.8</v>
      </c>
      <c r="L186">
        <v>237.21</v>
      </c>
    </row>
    <row r="187" spans="1:12" x14ac:dyDescent="0.3">
      <c r="A187" t="s">
        <v>224</v>
      </c>
      <c r="B187" s="1">
        <v>46006</v>
      </c>
      <c r="C187" t="s">
        <v>40</v>
      </c>
      <c r="D187" t="s">
        <v>66</v>
      </c>
      <c r="E187" t="s">
        <v>26</v>
      </c>
      <c r="F187" t="s">
        <v>16</v>
      </c>
      <c r="G187" t="s">
        <v>17</v>
      </c>
      <c r="H187">
        <v>3</v>
      </c>
      <c r="I187">
        <v>224.82</v>
      </c>
      <c r="J187">
        <v>0</v>
      </c>
      <c r="K187">
        <v>674.46</v>
      </c>
      <c r="L187">
        <v>173.91</v>
      </c>
    </row>
    <row r="188" spans="1:12" x14ac:dyDescent="0.3">
      <c r="A188" t="s">
        <v>225</v>
      </c>
      <c r="B188" s="1">
        <v>45923</v>
      </c>
      <c r="C188" t="s">
        <v>24</v>
      </c>
      <c r="D188" t="s">
        <v>34</v>
      </c>
      <c r="E188" t="s">
        <v>20</v>
      </c>
      <c r="F188" t="s">
        <v>31</v>
      </c>
      <c r="G188" t="s">
        <v>59</v>
      </c>
      <c r="H188">
        <v>4</v>
      </c>
      <c r="I188">
        <v>182.82</v>
      </c>
      <c r="J188">
        <v>0.2</v>
      </c>
      <c r="K188">
        <v>731.28</v>
      </c>
      <c r="L188">
        <v>134.36000000000001</v>
      </c>
    </row>
    <row r="189" spans="1:12" x14ac:dyDescent="0.3">
      <c r="A189" t="s">
        <v>226</v>
      </c>
      <c r="B189" s="1">
        <v>45698</v>
      </c>
      <c r="C189" t="s">
        <v>40</v>
      </c>
      <c r="D189" t="s">
        <v>29</v>
      </c>
      <c r="E189" t="s">
        <v>26</v>
      </c>
      <c r="F189" t="s">
        <v>16</v>
      </c>
      <c r="G189" t="s">
        <v>17</v>
      </c>
      <c r="H189">
        <v>3</v>
      </c>
      <c r="I189">
        <v>318.14</v>
      </c>
      <c r="J189">
        <v>0.2</v>
      </c>
      <c r="K189">
        <v>954.42</v>
      </c>
      <c r="L189">
        <v>89.11</v>
      </c>
    </row>
    <row r="190" spans="1:12" x14ac:dyDescent="0.3">
      <c r="A190" t="s">
        <v>227</v>
      </c>
      <c r="B190" s="1">
        <v>45915</v>
      </c>
      <c r="C190" t="s">
        <v>24</v>
      </c>
      <c r="D190" t="s">
        <v>66</v>
      </c>
      <c r="E190" t="s">
        <v>20</v>
      </c>
      <c r="F190" t="s">
        <v>21</v>
      </c>
      <c r="G190" t="s">
        <v>27</v>
      </c>
      <c r="H190">
        <v>6</v>
      </c>
      <c r="I190">
        <v>423.63</v>
      </c>
      <c r="J190">
        <v>0.2</v>
      </c>
      <c r="K190">
        <v>2541.7800000000002</v>
      </c>
      <c r="L190">
        <v>-75.489999999999995</v>
      </c>
    </row>
    <row r="191" spans="1:12" x14ac:dyDescent="0.3">
      <c r="A191" t="s">
        <v>228</v>
      </c>
      <c r="B191" s="1">
        <v>45672</v>
      </c>
      <c r="C191" t="s">
        <v>13</v>
      </c>
      <c r="D191" t="s">
        <v>29</v>
      </c>
      <c r="E191" t="s">
        <v>26</v>
      </c>
      <c r="F191" t="s">
        <v>16</v>
      </c>
      <c r="G191" t="s">
        <v>17</v>
      </c>
      <c r="H191">
        <v>4</v>
      </c>
      <c r="I191">
        <v>386.98</v>
      </c>
      <c r="J191">
        <v>0.15</v>
      </c>
      <c r="K191">
        <v>1547.92</v>
      </c>
      <c r="L191">
        <v>212.11</v>
      </c>
    </row>
    <row r="192" spans="1:12" x14ac:dyDescent="0.3">
      <c r="A192" t="s">
        <v>229</v>
      </c>
      <c r="B192" s="1">
        <v>45673</v>
      </c>
      <c r="C192" t="s">
        <v>43</v>
      </c>
      <c r="D192" t="s">
        <v>29</v>
      </c>
      <c r="E192" t="s">
        <v>15</v>
      </c>
      <c r="F192" t="s">
        <v>21</v>
      </c>
      <c r="G192" t="s">
        <v>27</v>
      </c>
      <c r="H192">
        <v>8</v>
      </c>
      <c r="I192">
        <v>133.77000000000001</v>
      </c>
      <c r="J192">
        <v>0.15</v>
      </c>
      <c r="K192">
        <v>1070.1600000000001</v>
      </c>
      <c r="L192">
        <v>60.85</v>
      </c>
    </row>
    <row r="193" spans="1:12" x14ac:dyDescent="0.3">
      <c r="A193" t="s">
        <v>230</v>
      </c>
      <c r="B193" s="1">
        <v>45695</v>
      </c>
      <c r="C193" t="s">
        <v>13</v>
      </c>
      <c r="D193" t="s">
        <v>46</v>
      </c>
      <c r="E193" t="s">
        <v>15</v>
      </c>
      <c r="F193" t="s">
        <v>16</v>
      </c>
      <c r="G193" t="s">
        <v>44</v>
      </c>
      <c r="H193">
        <v>8</v>
      </c>
      <c r="I193">
        <v>113.95</v>
      </c>
      <c r="J193">
        <v>0.2</v>
      </c>
      <c r="K193">
        <v>911.6</v>
      </c>
      <c r="L193">
        <v>-3.72</v>
      </c>
    </row>
    <row r="194" spans="1:12" x14ac:dyDescent="0.3">
      <c r="A194" t="s">
        <v>231</v>
      </c>
      <c r="B194" s="1">
        <v>45821</v>
      </c>
      <c r="C194" t="s">
        <v>40</v>
      </c>
      <c r="D194" t="s">
        <v>38</v>
      </c>
      <c r="E194" t="s">
        <v>15</v>
      </c>
      <c r="F194" t="s">
        <v>31</v>
      </c>
      <c r="G194" t="s">
        <v>59</v>
      </c>
      <c r="H194">
        <v>6</v>
      </c>
      <c r="I194">
        <v>132.24</v>
      </c>
      <c r="J194">
        <v>0</v>
      </c>
      <c r="K194">
        <v>793.44</v>
      </c>
      <c r="L194">
        <v>92.73</v>
      </c>
    </row>
    <row r="195" spans="1:12" x14ac:dyDescent="0.3">
      <c r="A195" t="s">
        <v>232</v>
      </c>
      <c r="B195" s="1">
        <v>45784</v>
      </c>
      <c r="C195" t="s">
        <v>24</v>
      </c>
      <c r="D195" t="s">
        <v>25</v>
      </c>
      <c r="E195" t="s">
        <v>15</v>
      </c>
      <c r="F195" t="s">
        <v>16</v>
      </c>
      <c r="G195" t="s">
        <v>36</v>
      </c>
      <c r="H195">
        <v>7</v>
      </c>
      <c r="I195">
        <v>135.41</v>
      </c>
      <c r="J195">
        <v>0.05</v>
      </c>
      <c r="K195">
        <v>947.87</v>
      </c>
      <c r="L195">
        <v>218.83</v>
      </c>
    </row>
    <row r="196" spans="1:12" x14ac:dyDescent="0.3">
      <c r="A196" t="s">
        <v>233</v>
      </c>
      <c r="B196" s="1">
        <v>45953</v>
      </c>
      <c r="C196" t="s">
        <v>40</v>
      </c>
      <c r="D196" t="s">
        <v>46</v>
      </c>
      <c r="E196" t="s">
        <v>15</v>
      </c>
      <c r="F196" t="s">
        <v>16</v>
      </c>
      <c r="G196" t="s">
        <v>36</v>
      </c>
      <c r="H196">
        <v>8</v>
      </c>
      <c r="I196">
        <v>441.35</v>
      </c>
      <c r="J196">
        <v>0.15</v>
      </c>
      <c r="K196">
        <v>3530.8</v>
      </c>
      <c r="L196">
        <v>-41.33</v>
      </c>
    </row>
    <row r="197" spans="1:12" x14ac:dyDescent="0.3">
      <c r="A197" t="s">
        <v>234</v>
      </c>
      <c r="B197" s="1">
        <v>45859</v>
      </c>
      <c r="C197" t="s">
        <v>43</v>
      </c>
      <c r="D197" t="s">
        <v>34</v>
      </c>
      <c r="E197" t="s">
        <v>26</v>
      </c>
      <c r="F197" t="s">
        <v>16</v>
      </c>
      <c r="G197" t="s">
        <v>36</v>
      </c>
      <c r="H197">
        <v>1</v>
      </c>
      <c r="I197">
        <v>39.51</v>
      </c>
      <c r="J197">
        <v>0.15</v>
      </c>
      <c r="K197">
        <v>39.51</v>
      </c>
      <c r="L197">
        <v>5.21</v>
      </c>
    </row>
    <row r="198" spans="1:12" x14ac:dyDescent="0.3">
      <c r="A198" t="s">
        <v>235</v>
      </c>
      <c r="B198" s="1">
        <v>45992</v>
      </c>
      <c r="C198" t="s">
        <v>43</v>
      </c>
      <c r="D198" t="s">
        <v>38</v>
      </c>
      <c r="E198" t="s">
        <v>20</v>
      </c>
      <c r="F198" t="s">
        <v>31</v>
      </c>
      <c r="G198" t="s">
        <v>55</v>
      </c>
      <c r="H198">
        <v>7</v>
      </c>
      <c r="I198">
        <v>79.959999999999994</v>
      </c>
      <c r="J198">
        <v>0.1</v>
      </c>
      <c r="K198">
        <v>559.72</v>
      </c>
      <c r="L198">
        <v>104.6</v>
      </c>
    </row>
    <row r="199" spans="1:12" x14ac:dyDescent="0.3">
      <c r="A199" t="s">
        <v>236</v>
      </c>
      <c r="B199" s="1">
        <v>45864</v>
      </c>
      <c r="C199" t="s">
        <v>40</v>
      </c>
      <c r="D199" t="s">
        <v>14</v>
      </c>
      <c r="E199" t="s">
        <v>20</v>
      </c>
      <c r="F199" t="s">
        <v>16</v>
      </c>
      <c r="G199" t="s">
        <v>44</v>
      </c>
      <c r="H199">
        <v>6</v>
      </c>
      <c r="I199">
        <v>283.31</v>
      </c>
      <c r="J199">
        <v>0</v>
      </c>
      <c r="K199">
        <v>1699.86</v>
      </c>
      <c r="L199">
        <v>249.18</v>
      </c>
    </row>
    <row r="200" spans="1:12" x14ac:dyDescent="0.3">
      <c r="A200" t="s">
        <v>237</v>
      </c>
      <c r="B200" s="1">
        <v>45888</v>
      </c>
      <c r="C200" t="s">
        <v>40</v>
      </c>
      <c r="D200" t="s">
        <v>38</v>
      </c>
      <c r="E200" t="s">
        <v>26</v>
      </c>
      <c r="F200" t="s">
        <v>21</v>
      </c>
      <c r="G200" t="s">
        <v>27</v>
      </c>
      <c r="H200">
        <v>3</v>
      </c>
      <c r="I200">
        <v>487.92</v>
      </c>
      <c r="J200">
        <v>0.15</v>
      </c>
      <c r="K200">
        <v>1463.76</v>
      </c>
      <c r="L200">
        <v>110.95</v>
      </c>
    </row>
    <row r="201" spans="1:12" x14ac:dyDescent="0.3">
      <c r="A201" t="s">
        <v>238</v>
      </c>
      <c r="B201" s="1">
        <v>45831</v>
      </c>
      <c r="C201" t="s">
        <v>40</v>
      </c>
      <c r="D201" t="s">
        <v>25</v>
      </c>
      <c r="E201" t="s">
        <v>26</v>
      </c>
      <c r="F201" t="s">
        <v>16</v>
      </c>
      <c r="G201" t="s">
        <v>36</v>
      </c>
      <c r="H201">
        <v>1</v>
      </c>
      <c r="I201">
        <v>36.97</v>
      </c>
      <c r="J201">
        <v>0.05</v>
      </c>
      <c r="K201">
        <v>36.97</v>
      </c>
      <c r="L201">
        <v>7.61</v>
      </c>
    </row>
    <row r="202" spans="1:12" x14ac:dyDescent="0.3">
      <c r="A202" t="s">
        <v>239</v>
      </c>
      <c r="B202" s="1">
        <v>45900</v>
      </c>
      <c r="C202" t="s">
        <v>43</v>
      </c>
      <c r="D202" t="s">
        <v>66</v>
      </c>
      <c r="E202" t="s">
        <v>26</v>
      </c>
      <c r="F202" t="s">
        <v>16</v>
      </c>
      <c r="G202" t="s">
        <v>17</v>
      </c>
      <c r="H202">
        <v>6</v>
      </c>
      <c r="I202">
        <v>466.71</v>
      </c>
      <c r="J202">
        <v>0.1</v>
      </c>
      <c r="K202">
        <v>2800.26</v>
      </c>
      <c r="L202">
        <v>127.76</v>
      </c>
    </row>
    <row r="203" spans="1:12" x14ac:dyDescent="0.3">
      <c r="A203" t="s">
        <v>240</v>
      </c>
      <c r="B203" s="1">
        <v>45973</v>
      </c>
      <c r="C203" t="s">
        <v>40</v>
      </c>
      <c r="D203" t="s">
        <v>46</v>
      </c>
      <c r="E203" t="s">
        <v>26</v>
      </c>
      <c r="F203" t="s">
        <v>21</v>
      </c>
      <c r="G203" t="s">
        <v>22</v>
      </c>
      <c r="H203">
        <v>5</v>
      </c>
      <c r="I203">
        <v>245.32</v>
      </c>
      <c r="J203">
        <v>0</v>
      </c>
      <c r="K203">
        <v>1226.5999999999999</v>
      </c>
      <c r="L203">
        <v>174.29</v>
      </c>
    </row>
    <row r="204" spans="1:12" x14ac:dyDescent="0.3">
      <c r="A204" t="s">
        <v>241</v>
      </c>
      <c r="B204" s="1">
        <v>46002</v>
      </c>
      <c r="C204" t="s">
        <v>13</v>
      </c>
      <c r="D204" t="s">
        <v>19</v>
      </c>
      <c r="E204" t="s">
        <v>15</v>
      </c>
      <c r="F204" t="s">
        <v>31</v>
      </c>
      <c r="G204" t="s">
        <v>55</v>
      </c>
      <c r="H204">
        <v>8</v>
      </c>
      <c r="I204">
        <v>143.78</v>
      </c>
      <c r="J204">
        <v>0.2</v>
      </c>
      <c r="K204">
        <v>1150.24</v>
      </c>
      <c r="L204">
        <v>120.09</v>
      </c>
    </row>
    <row r="205" spans="1:12" x14ac:dyDescent="0.3">
      <c r="A205" t="s">
        <v>242</v>
      </c>
      <c r="B205" s="1">
        <v>45684</v>
      </c>
      <c r="C205" t="s">
        <v>43</v>
      </c>
      <c r="D205" t="s">
        <v>25</v>
      </c>
      <c r="E205" t="s">
        <v>26</v>
      </c>
      <c r="F205" t="s">
        <v>16</v>
      </c>
      <c r="G205" t="s">
        <v>17</v>
      </c>
      <c r="H205">
        <v>3</v>
      </c>
      <c r="I205">
        <v>413.51</v>
      </c>
      <c r="J205">
        <v>0.05</v>
      </c>
      <c r="K205">
        <v>1240.53</v>
      </c>
      <c r="L205">
        <v>43.91</v>
      </c>
    </row>
    <row r="206" spans="1:12" x14ac:dyDescent="0.3">
      <c r="A206" t="s">
        <v>243</v>
      </c>
      <c r="B206" s="1">
        <v>46016</v>
      </c>
      <c r="C206" t="s">
        <v>13</v>
      </c>
      <c r="D206" t="s">
        <v>34</v>
      </c>
      <c r="E206" t="s">
        <v>15</v>
      </c>
      <c r="F206" t="s">
        <v>16</v>
      </c>
      <c r="G206" t="s">
        <v>36</v>
      </c>
      <c r="H206">
        <v>7</v>
      </c>
      <c r="I206">
        <v>88.44</v>
      </c>
      <c r="J206">
        <v>0.05</v>
      </c>
      <c r="K206">
        <v>619.08000000000004</v>
      </c>
      <c r="L206">
        <v>80.540000000000006</v>
      </c>
    </row>
    <row r="207" spans="1:12" x14ac:dyDescent="0.3">
      <c r="A207" t="s">
        <v>244</v>
      </c>
      <c r="B207" s="1">
        <v>45971</v>
      </c>
      <c r="C207" t="s">
        <v>43</v>
      </c>
      <c r="D207" t="s">
        <v>66</v>
      </c>
      <c r="E207" t="s">
        <v>20</v>
      </c>
      <c r="F207" t="s">
        <v>21</v>
      </c>
      <c r="G207" t="s">
        <v>27</v>
      </c>
      <c r="H207">
        <v>4</v>
      </c>
      <c r="I207">
        <v>287.02999999999997</v>
      </c>
      <c r="J207">
        <v>0.15</v>
      </c>
      <c r="K207">
        <v>1148.1199999999999</v>
      </c>
      <c r="L207">
        <v>130.74</v>
      </c>
    </row>
    <row r="208" spans="1:12" x14ac:dyDescent="0.3">
      <c r="A208" t="s">
        <v>245</v>
      </c>
      <c r="B208" s="1">
        <v>45818</v>
      </c>
      <c r="C208" t="s">
        <v>24</v>
      </c>
      <c r="D208" t="s">
        <v>34</v>
      </c>
      <c r="E208" t="s">
        <v>15</v>
      </c>
      <c r="F208" t="s">
        <v>31</v>
      </c>
      <c r="G208" t="s">
        <v>55</v>
      </c>
      <c r="H208">
        <v>5</v>
      </c>
      <c r="I208">
        <v>310.89</v>
      </c>
      <c r="J208">
        <v>0.05</v>
      </c>
      <c r="K208">
        <v>1554.45</v>
      </c>
      <c r="L208">
        <v>414.78</v>
      </c>
    </row>
    <row r="209" spans="1:12" x14ac:dyDescent="0.3">
      <c r="A209" t="s">
        <v>246</v>
      </c>
      <c r="B209" s="1">
        <v>45800</v>
      </c>
      <c r="C209" t="s">
        <v>40</v>
      </c>
      <c r="D209" t="s">
        <v>14</v>
      </c>
      <c r="E209" t="s">
        <v>15</v>
      </c>
      <c r="F209" t="s">
        <v>16</v>
      </c>
      <c r="G209" t="s">
        <v>44</v>
      </c>
      <c r="H209">
        <v>8</v>
      </c>
      <c r="I209">
        <v>168.76</v>
      </c>
      <c r="J209">
        <v>0.1</v>
      </c>
      <c r="K209">
        <v>1350.08</v>
      </c>
      <c r="L209">
        <v>195.93</v>
      </c>
    </row>
    <row r="210" spans="1:12" x14ac:dyDescent="0.3">
      <c r="A210" t="s">
        <v>247</v>
      </c>
      <c r="B210" s="1">
        <v>45798</v>
      </c>
      <c r="C210" t="s">
        <v>40</v>
      </c>
      <c r="D210" t="s">
        <v>25</v>
      </c>
      <c r="E210" t="s">
        <v>26</v>
      </c>
      <c r="F210" t="s">
        <v>16</v>
      </c>
      <c r="G210" t="s">
        <v>17</v>
      </c>
      <c r="H210">
        <v>7</v>
      </c>
      <c r="I210">
        <v>411.91</v>
      </c>
      <c r="J210">
        <v>0.05</v>
      </c>
      <c r="K210">
        <v>2883.37</v>
      </c>
      <c r="L210">
        <v>288.66000000000003</v>
      </c>
    </row>
    <row r="211" spans="1:12" x14ac:dyDescent="0.3">
      <c r="A211" t="s">
        <v>248</v>
      </c>
      <c r="B211" s="1">
        <v>45805</v>
      </c>
      <c r="C211" t="s">
        <v>13</v>
      </c>
      <c r="D211" t="s">
        <v>29</v>
      </c>
      <c r="E211" t="s">
        <v>26</v>
      </c>
      <c r="F211" t="s">
        <v>31</v>
      </c>
      <c r="G211" t="s">
        <v>32</v>
      </c>
      <c r="H211">
        <v>8</v>
      </c>
      <c r="I211">
        <v>118.78</v>
      </c>
      <c r="J211">
        <v>0.2</v>
      </c>
      <c r="K211">
        <v>950.24</v>
      </c>
      <c r="L211">
        <v>26.4</v>
      </c>
    </row>
    <row r="212" spans="1:12" x14ac:dyDescent="0.3">
      <c r="A212" t="s">
        <v>249</v>
      </c>
      <c r="B212" s="1">
        <v>45945</v>
      </c>
      <c r="C212" t="s">
        <v>40</v>
      </c>
      <c r="D212" t="s">
        <v>14</v>
      </c>
      <c r="E212" t="s">
        <v>26</v>
      </c>
      <c r="F212" t="s">
        <v>16</v>
      </c>
      <c r="G212" t="s">
        <v>36</v>
      </c>
      <c r="H212">
        <v>4</v>
      </c>
      <c r="I212">
        <v>39.619999999999997</v>
      </c>
      <c r="J212">
        <v>0.2</v>
      </c>
      <c r="K212">
        <v>158.47999999999999</v>
      </c>
      <c r="L212">
        <v>2.6</v>
      </c>
    </row>
    <row r="213" spans="1:12" x14ac:dyDescent="0.3">
      <c r="A213" t="s">
        <v>250</v>
      </c>
      <c r="B213" s="1">
        <v>45777</v>
      </c>
      <c r="C213" t="s">
        <v>13</v>
      </c>
      <c r="D213" t="s">
        <v>46</v>
      </c>
      <c r="E213" t="s">
        <v>15</v>
      </c>
      <c r="F213" t="s">
        <v>16</v>
      </c>
      <c r="G213" t="s">
        <v>44</v>
      </c>
      <c r="H213">
        <v>2</v>
      </c>
      <c r="I213">
        <v>345.38</v>
      </c>
      <c r="J213">
        <v>0.05</v>
      </c>
      <c r="K213">
        <v>690.76</v>
      </c>
      <c r="L213">
        <v>19.89</v>
      </c>
    </row>
    <row r="214" spans="1:12" x14ac:dyDescent="0.3">
      <c r="A214" t="s">
        <v>251</v>
      </c>
      <c r="B214" s="1">
        <v>45939</v>
      </c>
      <c r="C214" t="s">
        <v>24</v>
      </c>
      <c r="D214" t="s">
        <v>46</v>
      </c>
      <c r="E214" t="s">
        <v>15</v>
      </c>
      <c r="F214" t="s">
        <v>31</v>
      </c>
      <c r="G214" t="s">
        <v>55</v>
      </c>
      <c r="H214">
        <v>4</v>
      </c>
      <c r="I214">
        <v>381.62</v>
      </c>
      <c r="J214">
        <v>0.1</v>
      </c>
      <c r="K214">
        <v>1526.48</v>
      </c>
      <c r="L214">
        <v>130.19999999999999</v>
      </c>
    </row>
    <row r="215" spans="1:12" x14ac:dyDescent="0.3">
      <c r="A215" t="s">
        <v>252</v>
      </c>
      <c r="B215" s="1">
        <v>45988</v>
      </c>
      <c r="C215" t="s">
        <v>13</v>
      </c>
      <c r="D215" t="s">
        <v>14</v>
      </c>
      <c r="E215" t="s">
        <v>26</v>
      </c>
      <c r="F215" t="s">
        <v>16</v>
      </c>
      <c r="G215" t="s">
        <v>17</v>
      </c>
      <c r="H215">
        <v>1</v>
      </c>
      <c r="I215">
        <v>457.92</v>
      </c>
      <c r="J215">
        <v>0.05</v>
      </c>
      <c r="K215">
        <v>457.92</v>
      </c>
      <c r="L215">
        <v>60.43</v>
      </c>
    </row>
    <row r="216" spans="1:12" x14ac:dyDescent="0.3">
      <c r="A216" t="s">
        <v>253</v>
      </c>
      <c r="B216" s="1">
        <v>45748</v>
      </c>
      <c r="C216" t="s">
        <v>13</v>
      </c>
      <c r="D216" t="s">
        <v>29</v>
      </c>
      <c r="E216" t="s">
        <v>20</v>
      </c>
      <c r="F216" t="s">
        <v>31</v>
      </c>
      <c r="G216" t="s">
        <v>32</v>
      </c>
      <c r="H216">
        <v>1</v>
      </c>
      <c r="I216">
        <v>19.489999999999998</v>
      </c>
      <c r="J216">
        <v>0.2</v>
      </c>
      <c r="K216">
        <v>19.489999999999998</v>
      </c>
      <c r="L216">
        <v>2.16</v>
      </c>
    </row>
    <row r="217" spans="1:12" x14ac:dyDescent="0.3">
      <c r="A217" t="s">
        <v>254</v>
      </c>
      <c r="B217" s="1">
        <v>45829</v>
      </c>
      <c r="C217" t="s">
        <v>40</v>
      </c>
      <c r="D217" t="s">
        <v>46</v>
      </c>
      <c r="E217" t="s">
        <v>26</v>
      </c>
      <c r="F217" t="s">
        <v>31</v>
      </c>
      <c r="G217" t="s">
        <v>55</v>
      </c>
      <c r="H217">
        <v>3</v>
      </c>
      <c r="I217">
        <v>427.76</v>
      </c>
      <c r="J217">
        <v>0.15</v>
      </c>
      <c r="K217">
        <v>1283.28</v>
      </c>
      <c r="L217">
        <v>65.069999999999993</v>
      </c>
    </row>
    <row r="218" spans="1:12" x14ac:dyDescent="0.3">
      <c r="A218" t="s">
        <v>255</v>
      </c>
      <c r="B218" s="1">
        <v>45715</v>
      </c>
      <c r="C218" t="s">
        <v>40</v>
      </c>
      <c r="D218" t="s">
        <v>29</v>
      </c>
      <c r="E218" t="s">
        <v>15</v>
      </c>
      <c r="F218" t="s">
        <v>16</v>
      </c>
      <c r="G218" t="s">
        <v>17</v>
      </c>
      <c r="H218">
        <v>3</v>
      </c>
      <c r="I218">
        <v>21.83</v>
      </c>
      <c r="J218">
        <v>0.1</v>
      </c>
      <c r="K218">
        <v>65.489999999999995</v>
      </c>
      <c r="L218">
        <v>13.27</v>
      </c>
    </row>
    <row r="219" spans="1:12" x14ac:dyDescent="0.3">
      <c r="A219" t="s">
        <v>256</v>
      </c>
      <c r="B219" s="1">
        <v>45948</v>
      </c>
      <c r="C219" t="s">
        <v>24</v>
      </c>
      <c r="D219" t="s">
        <v>25</v>
      </c>
      <c r="E219" t="s">
        <v>26</v>
      </c>
      <c r="F219" t="s">
        <v>16</v>
      </c>
      <c r="G219" t="s">
        <v>17</v>
      </c>
      <c r="H219">
        <v>7</v>
      </c>
      <c r="I219">
        <v>264.91000000000003</v>
      </c>
      <c r="J219">
        <v>0</v>
      </c>
      <c r="K219">
        <v>1854.37</v>
      </c>
      <c r="L219">
        <v>278.54000000000002</v>
      </c>
    </row>
    <row r="220" spans="1:12" x14ac:dyDescent="0.3">
      <c r="A220" t="s">
        <v>257</v>
      </c>
      <c r="B220" s="1">
        <v>45706</v>
      </c>
      <c r="C220" t="s">
        <v>24</v>
      </c>
      <c r="D220" t="s">
        <v>14</v>
      </c>
      <c r="E220" t="s">
        <v>15</v>
      </c>
      <c r="F220" t="s">
        <v>16</v>
      </c>
      <c r="G220" t="s">
        <v>44</v>
      </c>
      <c r="H220">
        <v>1</v>
      </c>
      <c r="I220">
        <v>141.47999999999999</v>
      </c>
      <c r="J220">
        <v>0.05</v>
      </c>
      <c r="K220">
        <v>141.47999999999999</v>
      </c>
      <c r="L220">
        <v>19.690000000000001</v>
      </c>
    </row>
    <row r="221" spans="1:12" x14ac:dyDescent="0.3">
      <c r="A221" t="s">
        <v>258</v>
      </c>
      <c r="B221" s="1">
        <v>45794</v>
      </c>
      <c r="C221" t="s">
        <v>40</v>
      </c>
      <c r="D221" t="s">
        <v>19</v>
      </c>
      <c r="E221" t="s">
        <v>26</v>
      </c>
      <c r="F221" t="s">
        <v>31</v>
      </c>
      <c r="G221" t="s">
        <v>55</v>
      </c>
      <c r="H221">
        <v>5</v>
      </c>
      <c r="I221">
        <v>332.04</v>
      </c>
      <c r="J221">
        <v>0.05</v>
      </c>
      <c r="K221">
        <v>1660.2</v>
      </c>
      <c r="L221">
        <v>71.44</v>
      </c>
    </row>
    <row r="222" spans="1:12" x14ac:dyDescent="0.3">
      <c r="A222" t="s">
        <v>259</v>
      </c>
      <c r="B222" s="1">
        <v>45718</v>
      </c>
      <c r="C222" t="s">
        <v>43</v>
      </c>
      <c r="D222" t="s">
        <v>29</v>
      </c>
      <c r="E222" t="s">
        <v>15</v>
      </c>
      <c r="F222" t="s">
        <v>31</v>
      </c>
      <c r="G222" t="s">
        <v>59</v>
      </c>
      <c r="H222">
        <v>2</v>
      </c>
      <c r="I222">
        <v>324.77</v>
      </c>
      <c r="J222">
        <v>0.1</v>
      </c>
      <c r="K222">
        <v>649.54</v>
      </c>
      <c r="L222">
        <v>62.93</v>
      </c>
    </row>
    <row r="223" spans="1:12" x14ac:dyDescent="0.3">
      <c r="A223" t="s">
        <v>260</v>
      </c>
      <c r="B223" s="1">
        <v>45771</v>
      </c>
      <c r="C223" t="s">
        <v>24</v>
      </c>
      <c r="D223" t="s">
        <v>46</v>
      </c>
      <c r="E223" t="s">
        <v>20</v>
      </c>
      <c r="F223" t="s">
        <v>16</v>
      </c>
      <c r="G223" t="s">
        <v>44</v>
      </c>
      <c r="H223">
        <v>6</v>
      </c>
      <c r="I223">
        <v>216.69</v>
      </c>
      <c r="J223">
        <v>0.2</v>
      </c>
      <c r="K223">
        <v>1300.1400000000001</v>
      </c>
      <c r="L223">
        <v>244.69</v>
      </c>
    </row>
    <row r="224" spans="1:12" x14ac:dyDescent="0.3">
      <c r="A224" t="s">
        <v>261</v>
      </c>
      <c r="B224" s="1">
        <v>45933</v>
      </c>
      <c r="C224" t="s">
        <v>24</v>
      </c>
      <c r="D224" t="s">
        <v>38</v>
      </c>
      <c r="E224" t="s">
        <v>26</v>
      </c>
      <c r="F224" t="s">
        <v>16</v>
      </c>
      <c r="G224" t="s">
        <v>17</v>
      </c>
      <c r="H224">
        <v>8</v>
      </c>
      <c r="I224">
        <v>271.16000000000003</v>
      </c>
      <c r="J224">
        <v>0.1</v>
      </c>
      <c r="K224">
        <v>2169.2800000000002</v>
      </c>
      <c r="L224">
        <v>53.2</v>
      </c>
    </row>
    <row r="225" spans="1:12" x14ac:dyDescent="0.3">
      <c r="A225" t="s">
        <v>262</v>
      </c>
      <c r="B225" s="1">
        <v>45946</v>
      </c>
      <c r="C225" t="s">
        <v>13</v>
      </c>
      <c r="D225" t="s">
        <v>14</v>
      </c>
      <c r="E225" t="s">
        <v>26</v>
      </c>
      <c r="F225" t="s">
        <v>16</v>
      </c>
      <c r="G225" t="s">
        <v>17</v>
      </c>
      <c r="H225">
        <v>3</v>
      </c>
      <c r="I225">
        <v>94.8</v>
      </c>
      <c r="J225">
        <v>0.2</v>
      </c>
      <c r="K225">
        <v>284.39999999999998</v>
      </c>
      <c r="L225">
        <v>20.04</v>
      </c>
    </row>
    <row r="226" spans="1:12" x14ac:dyDescent="0.3">
      <c r="A226" t="s">
        <v>263</v>
      </c>
      <c r="B226" s="1">
        <v>46006</v>
      </c>
      <c r="C226" t="s">
        <v>24</v>
      </c>
      <c r="D226" t="s">
        <v>38</v>
      </c>
      <c r="E226" t="s">
        <v>15</v>
      </c>
      <c r="F226" t="s">
        <v>21</v>
      </c>
      <c r="G226" t="s">
        <v>27</v>
      </c>
      <c r="H226">
        <v>8</v>
      </c>
      <c r="I226">
        <v>407.22</v>
      </c>
      <c r="J226">
        <v>0.15</v>
      </c>
      <c r="K226">
        <v>3257.76</v>
      </c>
      <c r="L226">
        <v>50.45</v>
      </c>
    </row>
    <row r="227" spans="1:12" x14ac:dyDescent="0.3">
      <c r="A227" t="s">
        <v>264</v>
      </c>
      <c r="B227" s="1">
        <v>45870</v>
      </c>
      <c r="C227" t="s">
        <v>43</v>
      </c>
      <c r="D227" t="s">
        <v>46</v>
      </c>
      <c r="E227" t="s">
        <v>26</v>
      </c>
      <c r="F227" t="s">
        <v>21</v>
      </c>
      <c r="G227" t="s">
        <v>48</v>
      </c>
      <c r="H227">
        <v>5</v>
      </c>
      <c r="I227">
        <v>365.79</v>
      </c>
      <c r="J227">
        <v>0.15</v>
      </c>
      <c r="K227">
        <v>1828.95</v>
      </c>
      <c r="L227">
        <v>84.34</v>
      </c>
    </row>
    <row r="228" spans="1:12" x14ac:dyDescent="0.3">
      <c r="A228" t="s">
        <v>265</v>
      </c>
      <c r="B228" s="1">
        <v>45659</v>
      </c>
      <c r="C228" t="s">
        <v>24</v>
      </c>
      <c r="D228" t="s">
        <v>25</v>
      </c>
      <c r="E228" t="s">
        <v>20</v>
      </c>
      <c r="F228" t="s">
        <v>21</v>
      </c>
      <c r="G228" t="s">
        <v>48</v>
      </c>
      <c r="H228">
        <v>6</v>
      </c>
      <c r="I228">
        <v>354.69</v>
      </c>
      <c r="J228">
        <v>0.2</v>
      </c>
      <c r="K228">
        <v>2128.14</v>
      </c>
      <c r="L228">
        <v>443.78</v>
      </c>
    </row>
    <row r="229" spans="1:12" x14ac:dyDescent="0.3">
      <c r="A229" t="s">
        <v>266</v>
      </c>
      <c r="B229" s="1">
        <v>45693</v>
      </c>
      <c r="C229" t="s">
        <v>43</v>
      </c>
      <c r="D229" t="s">
        <v>66</v>
      </c>
      <c r="E229" t="s">
        <v>15</v>
      </c>
      <c r="F229" t="s">
        <v>16</v>
      </c>
      <c r="G229" t="s">
        <v>44</v>
      </c>
      <c r="H229">
        <v>3</v>
      </c>
      <c r="I229">
        <v>386.43</v>
      </c>
      <c r="J229">
        <v>0.15</v>
      </c>
      <c r="K229">
        <v>1159.29</v>
      </c>
      <c r="L229">
        <v>88.24</v>
      </c>
    </row>
    <row r="230" spans="1:12" x14ac:dyDescent="0.3">
      <c r="A230" t="s">
        <v>267</v>
      </c>
      <c r="B230" s="1">
        <v>45853</v>
      </c>
      <c r="C230" t="s">
        <v>43</v>
      </c>
      <c r="D230" t="s">
        <v>66</v>
      </c>
      <c r="E230" t="s">
        <v>20</v>
      </c>
      <c r="F230" t="s">
        <v>31</v>
      </c>
      <c r="G230" t="s">
        <v>32</v>
      </c>
      <c r="H230">
        <v>6</v>
      </c>
      <c r="I230">
        <v>72.540000000000006</v>
      </c>
      <c r="J230">
        <v>0.2</v>
      </c>
      <c r="K230">
        <v>435.24</v>
      </c>
      <c r="L230">
        <v>25.36</v>
      </c>
    </row>
    <row r="231" spans="1:12" x14ac:dyDescent="0.3">
      <c r="A231" t="s">
        <v>268</v>
      </c>
      <c r="B231" s="1">
        <v>45723</v>
      </c>
      <c r="C231" t="s">
        <v>24</v>
      </c>
      <c r="D231" t="s">
        <v>46</v>
      </c>
      <c r="E231" t="s">
        <v>15</v>
      </c>
      <c r="F231" t="s">
        <v>16</v>
      </c>
      <c r="G231" t="s">
        <v>36</v>
      </c>
      <c r="H231">
        <v>7</v>
      </c>
      <c r="I231">
        <v>272.99</v>
      </c>
      <c r="J231">
        <v>0.05</v>
      </c>
      <c r="K231">
        <v>1910.93</v>
      </c>
      <c r="L231">
        <v>170.8</v>
      </c>
    </row>
    <row r="232" spans="1:12" x14ac:dyDescent="0.3">
      <c r="A232" t="s">
        <v>269</v>
      </c>
      <c r="B232" s="1">
        <v>45835</v>
      </c>
      <c r="C232" t="s">
        <v>24</v>
      </c>
      <c r="D232" t="s">
        <v>38</v>
      </c>
      <c r="E232" t="s">
        <v>26</v>
      </c>
      <c r="F232" t="s">
        <v>31</v>
      </c>
      <c r="G232" t="s">
        <v>59</v>
      </c>
      <c r="H232">
        <v>1</v>
      </c>
      <c r="I232">
        <v>407.6</v>
      </c>
      <c r="J232">
        <v>0.15</v>
      </c>
      <c r="K232">
        <v>407.6</v>
      </c>
      <c r="L232">
        <v>55.53</v>
      </c>
    </row>
    <row r="233" spans="1:12" x14ac:dyDescent="0.3">
      <c r="A233" t="s">
        <v>270</v>
      </c>
      <c r="B233" s="1">
        <v>45666</v>
      </c>
      <c r="C233" t="s">
        <v>24</v>
      </c>
      <c r="D233" t="s">
        <v>19</v>
      </c>
      <c r="E233" t="s">
        <v>20</v>
      </c>
      <c r="F233" t="s">
        <v>16</v>
      </c>
      <c r="G233" t="s">
        <v>36</v>
      </c>
      <c r="H233">
        <v>8</v>
      </c>
      <c r="I233">
        <v>304.93</v>
      </c>
      <c r="J233">
        <v>0</v>
      </c>
      <c r="K233">
        <v>2439.44</v>
      </c>
      <c r="L233">
        <v>271.23</v>
      </c>
    </row>
    <row r="234" spans="1:12" x14ac:dyDescent="0.3">
      <c r="A234" t="s">
        <v>271</v>
      </c>
      <c r="B234" s="1">
        <v>45680</v>
      </c>
      <c r="C234" t="s">
        <v>43</v>
      </c>
      <c r="D234" t="s">
        <v>14</v>
      </c>
      <c r="E234" t="s">
        <v>26</v>
      </c>
      <c r="F234" t="s">
        <v>31</v>
      </c>
      <c r="G234" t="s">
        <v>59</v>
      </c>
      <c r="H234">
        <v>1</v>
      </c>
      <c r="I234">
        <v>82.97</v>
      </c>
      <c r="J234">
        <v>0.1</v>
      </c>
      <c r="K234">
        <v>82.97</v>
      </c>
      <c r="L234">
        <v>5.27</v>
      </c>
    </row>
    <row r="235" spans="1:12" x14ac:dyDescent="0.3">
      <c r="A235" t="s">
        <v>272</v>
      </c>
      <c r="B235" s="1">
        <v>45952</v>
      </c>
      <c r="C235" t="s">
        <v>40</v>
      </c>
      <c r="D235" t="s">
        <v>34</v>
      </c>
      <c r="E235" t="s">
        <v>26</v>
      </c>
      <c r="F235" t="s">
        <v>21</v>
      </c>
      <c r="G235" t="s">
        <v>27</v>
      </c>
      <c r="H235">
        <v>4</v>
      </c>
      <c r="I235">
        <v>161.36000000000001</v>
      </c>
      <c r="J235">
        <v>0.05</v>
      </c>
      <c r="K235">
        <v>645.44000000000005</v>
      </c>
      <c r="L235">
        <v>176.8</v>
      </c>
    </row>
    <row r="236" spans="1:12" x14ac:dyDescent="0.3">
      <c r="A236" t="s">
        <v>273</v>
      </c>
      <c r="B236" s="1">
        <v>45924</v>
      </c>
      <c r="C236" t="s">
        <v>24</v>
      </c>
      <c r="D236" t="s">
        <v>19</v>
      </c>
      <c r="E236" t="s">
        <v>15</v>
      </c>
      <c r="F236" t="s">
        <v>31</v>
      </c>
      <c r="G236" t="s">
        <v>32</v>
      </c>
      <c r="H236">
        <v>3</v>
      </c>
      <c r="I236">
        <v>318.61</v>
      </c>
      <c r="J236">
        <v>0.15</v>
      </c>
      <c r="K236">
        <v>955.83</v>
      </c>
      <c r="L236">
        <v>116.1</v>
      </c>
    </row>
    <row r="237" spans="1:12" x14ac:dyDescent="0.3">
      <c r="A237" t="s">
        <v>274</v>
      </c>
      <c r="B237" s="1">
        <v>45682</v>
      </c>
      <c r="C237" t="s">
        <v>40</v>
      </c>
      <c r="D237" t="s">
        <v>34</v>
      </c>
      <c r="E237" t="s">
        <v>15</v>
      </c>
      <c r="F237" t="s">
        <v>21</v>
      </c>
      <c r="G237" t="s">
        <v>27</v>
      </c>
      <c r="H237">
        <v>7</v>
      </c>
      <c r="I237">
        <v>213.01</v>
      </c>
      <c r="J237">
        <v>0.1</v>
      </c>
      <c r="K237">
        <v>1491.07</v>
      </c>
      <c r="L237">
        <v>147.79</v>
      </c>
    </row>
    <row r="238" spans="1:12" x14ac:dyDescent="0.3">
      <c r="A238" t="s">
        <v>275</v>
      </c>
      <c r="B238" s="1">
        <v>45933</v>
      </c>
      <c r="C238" t="s">
        <v>43</v>
      </c>
      <c r="D238" t="s">
        <v>66</v>
      </c>
      <c r="E238" t="s">
        <v>15</v>
      </c>
      <c r="F238" t="s">
        <v>16</v>
      </c>
      <c r="G238" t="s">
        <v>36</v>
      </c>
      <c r="H238">
        <v>8</v>
      </c>
      <c r="I238">
        <v>458.65</v>
      </c>
      <c r="J238">
        <v>0.2</v>
      </c>
      <c r="K238">
        <v>3669.2</v>
      </c>
      <c r="L238">
        <v>231.78</v>
      </c>
    </row>
    <row r="239" spans="1:12" x14ac:dyDescent="0.3">
      <c r="A239" t="s">
        <v>276</v>
      </c>
      <c r="B239" s="1">
        <v>45871</v>
      </c>
      <c r="C239" t="s">
        <v>24</v>
      </c>
      <c r="D239" t="s">
        <v>14</v>
      </c>
      <c r="E239" t="s">
        <v>15</v>
      </c>
      <c r="F239" t="s">
        <v>31</v>
      </c>
      <c r="G239" t="s">
        <v>59</v>
      </c>
      <c r="H239">
        <v>6</v>
      </c>
      <c r="I239">
        <v>328.65</v>
      </c>
      <c r="J239">
        <v>0.15</v>
      </c>
      <c r="K239">
        <v>1971.9</v>
      </c>
      <c r="L239">
        <v>383.11</v>
      </c>
    </row>
    <row r="240" spans="1:12" x14ac:dyDescent="0.3">
      <c r="A240" t="s">
        <v>277</v>
      </c>
      <c r="B240" s="1">
        <v>45705</v>
      </c>
      <c r="C240" t="s">
        <v>24</v>
      </c>
      <c r="D240" t="s">
        <v>19</v>
      </c>
      <c r="E240" t="s">
        <v>15</v>
      </c>
      <c r="F240" t="s">
        <v>16</v>
      </c>
      <c r="G240" t="s">
        <v>44</v>
      </c>
      <c r="H240">
        <v>2</v>
      </c>
      <c r="I240">
        <v>106.26</v>
      </c>
      <c r="J240">
        <v>0.2</v>
      </c>
      <c r="K240">
        <v>212.52</v>
      </c>
      <c r="L240">
        <v>29.98</v>
      </c>
    </row>
    <row r="241" spans="1:12" x14ac:dyDescent="0.3">
      <c r="A241" t="s">
        <v>278</v>
      </c>
      <c r="B241" s="1">
        <v>45944</v>
      </c>
      <c r="C241" t="s">
        <v>24</v>
      </c>
      <c r="D241" t="s">
        <v>29</v>
      </c>
      <c r="E241" t="s">
        <v>15</v>
      </c>
      <c r="F241" t="s">
        <v>31</v>
      </c>
      <c r="G241" t="s">
        <v>59</v>
      </c>
      <c r="H241">
        <v>1</v>
      </c>
      <c r="I241">
        <v>117.73</v>
      </c>
      <c r="J241">
        <v>0.05</v>
      </c>
      <c r="K241">
        <v>117.73</v>
      </c>
      <c r="L241">
        <v>31.55</v>
      </c>
    </row>
    <row r="242" spans="1:12" x14ac:dyDescent="0.3">
      <c r="A242" t="s">
        <v>279</v>
      </c>
      <c r="B242" s="1">
        <v>45718</v>
      </c>
      <c r="C242" t="s">
        <v>43</v>
      </c>
      <c r="D242" t="s">
        <v>14</v>
      </c>
      <c r="E242" t="s">
        <v>26</v>
      </c>
      <c r="F242" t="s">
        <v>16</v>
      </c>
      <c r="G242" t="s">
        <v>17</v>
      </c>
      <c r="H242">
        <v>7</v>
      </c>
      <c r="I242">
        <v>458.84</v>
      </c>
      <c r="J242">
        <v>0.2</v>
      </c>
      <c r="K242">
        <v>3211.88</v>
      </c>
      <c r="L242">
        <v>129.77000000000001</v>
      </c>
    </row>
    <row r="243" spans="1:12" x14ac:dyDescent="0.3">
      <c r="A243" t="s">
        <v>280</v>
      </c>
      <c r="B243" s="1">
        <v>45802</v>
      </c>
      <c r="C243" t="s">
        <v>43</v>
      </c>
      <c r="D243" t="s">
        <v>34</v>
      </c>
      <c r="E243" t="s">
        <v>26</v>
      </c>
      <c r="F243" t="s">
        <v>31</v>
      </c>
      <c r="G243" t="s">
        <v>55</v>
      </c>
      <c r="H243">
        <v>5</v>
      </c>
      <c r="I243">
        <v>141.86000000000001</v>
      </c>
      <c r="J243">
        <v>0.2</v>
      </c>
      <c r="K243">
        <v>709.3</v>
      </c>
      <c r="L243">
        <v>128.16999999999999</v>
      </c>
    </row>
    <row r="244" spans="1:12" x14ac:dyDescent="0.3">
      <c r="A244" t="s">
        <v>281</v>
      </c>
      <c r="B244" s="1">
        <v>45896</v>
      </c>
      <c r="C244" t="s">
        <v>13</v>
      </c>
      <c r="D244" t="s">
        <v>14</v>
      </c>
      <c r="E244" t="s">
        <v>15</v>
      </c>
      <c r="F244" t="s">
        <v>21</v>
      </c>
      <c r="G244" t="s">
        <v>22</v>
      </c>
      <c r="H244">
        <v>6</v>
      </c>
      <c r="I244">
        <v>166.77</v>
      </c>
      <c r="J244">
        <v>0</v>
      </c>
      <c r="K244">
        <v>1000.62</v>
      </c>
      <c r="L244">
        <v>190.75</v>
      </c>
    </row>
    <row r="245" spans="1:12" x14ac:dyDescent="0.3">
      <c r="A245" t="s">
        <v>282</v>
      </c>
      <c r="B245" s="1">
        <v>45771</v>
      </c>
      <c r="C245" t="s">
        <v>24</v>
      </c>
      <c r="D245" t="s">
        <v>25</v>
      </c>
      <c r="E245" t="s">
        <v>26</v>
      </c>
      <c r="F245" t="s">
        <v>16</v>
      </c>
      <c r="G245" t="s">
        <v>44</v>
      </c>
      <c r="H245">
        <v>5</v>
      </c>
      <c r="I245">
        <v>88.92</v>
      </c>
      <c r="J245">
        <v>0.1</v>
      </c>
      <c r="K245">
        <v>444.6</v>
      </c>
      <c r="L245">
        <v>27.79</v>
      </c>
    </row>
    <row r="246" spans="1:12" x14ac:dyDescent="0.3">
      <c r="A246" t="s">
        <v>283</v>
      </c>
      <c r="B246" s="1">
        <v>45949</v>
      </c>
      <c r="C246" t="s">
        <v>24</v>
      </c>
      <c r="D246" t="s">
        <v>34</v>
      </c>
      <c r="E246" t="s">
        <v>26</v>
      </c>
      <c r="F246" t="s">
        <v>31</v>
      </c>
      <c r="G246" t="s">
        <v>55</v>
      </c>
      <c r="H246">
        <v>5</v>
      </c>
      <c r="I246">
        <v>385.23</v>
      </c>
      <c r="J246">
        <v>0.15</v>
      </c>
      <c r="K246">
        <v>1926.15</v>
      </c>
      <c r="L246">
        <v>431.7</v>
      </c>
    </row>
    <row r="247" spans="1:12" x14ac:dyDescent="0.3">
      <c r="A247" t="s">
        <v>284</v>
      </c>
      <c r="B247" s="1">
        <v>45986</v>
      </c>
      <c r="C247" t="s">
        <v>43</v>
      </c>
      <c r="D247" t="s">
        <v>34</v>
      </c>
      <c r="E247" t="s">
        <v>26</v>
      </c>
      <c r="F247" t="s">
        <v>31</v>
      </c>
      <c r="G247" t="s">
        <v>59</v>
      </c>
      <c r="H247">
        <v>3</v>
      </c>
      <c r="I247">
        <v>82.88</v>
      </c>
      <c r="J247">
        <v>0.2</v>
      </c>
      <c r="K247">
        <v>248.64</v>
      </c>
      <c r="L247">
        <v>20.41</v>
      </c>
    </row>
    <row r="248" spans="1:12" x14ac:dyDescent="0.3">
      <c r="A248" t="s">
        <v>285</v>
      </c>
      <c r="B248" s="1">
        <v>45935</v>
      </c>
      <c r="C248" t="s">
        <v>13</v>
      </c>
      <c r="D248" t="s">
        <v>19</v>
      </c>
      <c r="E248" t="s">
        <v>20</v>
      </c>
      <c r="F248" t="s">
        <v>21</v>
      </c>
      <c r="G248" t="s">
        <v>48</v>
      </c>
      <c r="H248">
        <v>1</v>
      </c>
      <c r="I248">
        <v>215.01</v>
      </c>
      <c r="J248">
        <v>0.05</v>
      </c>
      <c r="K248">
        <v>215.01</v>
      </c>
      <c r="L248">
        <v>9.57</v>
      </c>
    </row>
    <row r="249" spans="1:12" x14ac:dyDescent="0.3">
      <c r="A249" t="s">
        <v>286</v>
      </c>
      <c r="B249" s="1">
        <v>45735</v>
      </c>
      <c r="C249" t="s">
        <v>13</v>
      </c>
      <c r="D249" t="s">
        <v>34</v>
      </c>
      <c r="E249" t="s">
        <v>15</v>
      </c>
      <c r="F249" t="s">
        <v>16</v>
      </c>
      <c r="G249" t="s">
        <v>17</v>
      </c>
      <c r="H249">
        <v>1</v>
      </c>
      <c r="I249">
        <v>314.64999999999998</v>
      </c>
      <c r="J249">
        <v>0.2</v>
      </c>
      <c r="K249">
        <v>314.64999999999998</v>
      </c>
      <c r="L249">
        <v>59.21</v>
      </c>
    </row>
    <row r="250" spans="1:12" x14ac:dyDescent="0.3">
      <c r="A250" t="s">
        <v>287</v>
      </c>
      <c r="B250" s="1">
        <v>45995</v>
      </c>
      <c r="C250" t="s">
        <v>43</v>
      </c>
      <c r="D250" t="s">
        <v>25</v>
      </c>
      <c r="E250" t="s">
        <v>26</v>
      </c>
      <c r="F250" t="s">
        <v>16</v>
      </c>
      <c r="G250" t="s">
        <v>36</v>
      </c>
      <c r="H250">
        <v>1</v>
      </c>
      <c r="I250">
        <v>23.11</v>
      </c>
      <c r="J250">
        <v>0.1</v>
      </c>
      <c r="K250">
        <v>23.11</v>
      </c>
      <c r="L250">
        <v>3.21</v>
      </c>
    </row>
    <row r="251" spans="1:12" x14ac:dyDescent="0.3">
      <c r="A251" t="s">
        <v>288</v>
      </c>
      <c r="B251" s="1">
        <v>45804</v>
      </c>
      <c r="C251" t="s">
        <v>13</v>
      </c>
      <c r="D251" t="s">
        <v>25</v>
      </c>
      <c r="E251" t="s">
        <v>26</v>
      </c>
      <c r="F251" t="s">
        <v>21</v>
      </c>
      <c r="G251" t="s">
        <v>27</v>
      </c>
      <c r="H251">
        <v>3</v>
      </c>
      <c r="I251">
        <v>66.900000000000006</v>
      </c>
      <c r="J251">
        <v>0</v>
      </c>
      <c r="K251">
        <v>200.7</v>
      </c>
      <c r="L251">
        <v>36.35</v>
      </c>
    </row>
    <row r="252" spans="1:12" x14ac:dyDescent="0.3">
      <c r="A252" t="s">
        <v>289</v>
      </c>
      <c r="B252" s="1">
        <v>45781</v>
      </c>
      <c r="C252" t="s">
        <v>24</v>
      </c>
      <c r="D252" t="s">
        <v>34</v>
      </c>
      <c r="E252" t="s">
        <v>15</v>
      </c>
      <c r="F252" t="s">
        <v>21</v>
      </c>
      <c r="G252" t="s">
        <v>27</v>
      </c>
      <c r="H252">
        <v>5</v>
      </c>
      <c r="I252">
        <v>400.54</v>
      </c>
      <c r="J252">
        <v>0</v>
      </c>
      <c r="K252">
        <v>2002.7</v>
      </c>
      <c r="L252">
        <v>286.91000000000003</v>
      </c>
    </row>
    <row r="253" spans="1:12" x14ac:dyDescent="0.3">
      <c r="A253" t="s">
        <v>290</v>
      </c>
      <c r="B253" s="1">
        <v>45865</v>
      </c>
      <c r="C253" t="s">
        <v>43</v>
      </c>
      <c r="D253" t="s">
        <v>14</v>
      </c>
      <c r="E253" t="s">
        <v>26</v>
      </c>
      <c r="F253" t="s">
        <v>21</v>
      </c>
      <c r="G253" t="s">
        <v>48</v>
      </c>
      <c r="H253">
        <v>5</v>
      </c>
      <c r="I253">
        <v>346.76</v>
      </c>
      <c r="J253">
        <v>0</v>
      </c>
      <c r="K253">
        <v>1733.8</v>
      </c>
      <c r="L253">
        <v>370.05</v>
      </c>
    </row>
    <row r="254" spans="1:12" x14ac:dyDescent="0.3">
      <c r="A254" t="s">
        <v>291</v>
      </c>
      <c r="B254" s="1">
        <v>45990</v>
      </c>
      <c r="C254" t="s">
        <v>13</v>
      </c>
      <c r="D254" t="s">
        <v>25</v>
      </c>
      <c r="E254" t="s">
        <v>15</v>
      </c>
      <c r="F254" t="s">
        <v>16</v>
      </c>
      <c r="G254" t="s">
        <v>44</v>
      </c>
      <c r="H254">
        <v>8</v>
      </c>
      <c r="I254">
        <v>42.22</v>
      </c>
      <c r="J254">
        <v>0</v>
      </c>
      <c r="K254">
        <v>337.76</v>
      </c>
      <c r="L254">
        <v>76.239999999999995</v>
      </c>
    </row>
    <row r="255" spans="1:12" x14ac:dyDescent="0.3">
      <c r="A255" t="s">
        <v>292</v>
      </c>
      <c r="B255" s="1">
        <v>45700</v>
      </c>
      <c r="C255" t="s">
        <v>43</v>
      </c>
      <c r="D255" t="s">
        <v>38</v>
      </c>
      <c r="E255" t="s">
        <v>15</v>
      </c>
      <c r="F255" t="s">
        <v>31</v>
      </c>
      <c r="G255" t="s">
        <v>55</v>
      </c>
      <c r="H255">
        <v>1</v>
      </c>
      <c r="I255">
        <v>126.44</v>
      </c>
      <c r="J255">
        <v>0.2</v>
      </c>
      <c r="K255">
        <v>126.44</v>
      </c>
      <c r="L255">
        <v>9.9700000000000006</v>
      </c>
    </row>
    <row r="256" spans="1:12" x14ac:dyDescent="0.3">
      <c r="A256" t="s">
        <v>293</v>
      </c>
      <c r="B256" s="1">
        <v>45681</v>
      </c>
      <c r="C256" t="s">
        <v>13</v>
      </c>
      <c r="D256" t="s">
        <v>19</v>
      </c>
      <c r="E256" t="s">
        <v>26</v>
      </c>
      <c r="F256" t="s">
        <v>21</v>
      </c>
      <c r="G256" t="s">
        <v>22</v>
      </c>
      <c r="H256">
        <v>3</v>
      </c>
      <c r="I256">
        <v>465.45</v>
      </c>
      <c r="J256">
        <v>0.1</v>
      </c>
      <c r="K256">
        <v>1396.35</v>
      </c>
      <c r="L256">
        <v>12.45</v>
      </c>
    </row>
    <row r="257" spans="1:12" x14ac:dyDescent="0.3">
      <c r="A257" t="s">
        <v>294</v>
      </c>
      <c r="B257" s="1">
        <v>45764</v>
      </c>
      <c r="C257" t="s">
        <v>24</v>
      </c>
      <c r="D257" t="s">
        <v>29</v>
      </c>
      <c r="E257" t="s">
        <v>20</v>
      </c>
      <c r="F257" t="s">
        <v>21</v>
      </c>
      <c r="G257" t="s">
        <v>22</v>
      </c>
      <c r="H257">
        <v>3</v>
      </c>
      <c r="I257">
        <v>288.52</v>
      </c>
      <c r="J257">
        <v>0.2</v>
      </c>
      <c r="K257">
        <v>865.56</v>
      </c>
      <c r="L257">
        <v>145.99</v>
      </c>
    </row>
    <row r="258" spans="1:12" x14ac:dyDescent="0.3">
      <c r="A258" t="s">
        <v>295</v>
      </c>
      <c r="B258" s="1">
        <v>45857</v>
      </c>
      <c r="C258" t="s">
        <v>40</v>
      </c>
      <c r="D258" t="s">
        <v>38</v>
      </c>
      <c r="E258" t="s">
        <v>20</v>
      </c>
      <c r="F258" t="s">
        <v>31</v>
      </c>
      <c r="G258" t="s">
        <v>55</v>
      </c>
      <c r="H258">
        <v>6</v>
      </c>
      <c r="I258">
        <v>41.04</v>
      </c>
      <c r="J258">
        <v>0.15</v>
      </c>
      <c r="K258">
        <v>246.24</v>
      </c>
      <c r="L258">
        <v>9.98</v>
      </c>
    </row>
    <row r="259" spans="1:12" x14ac:dyDescent="0.3">
      <c r="A259" t="s">
        <v>296</v>
      </c>
      <c r="B259" s="1">
        <v>45696</v>
      </c>
      <c r="C259" t="s">
        <v>40</v>
      </c>
      <c r="D259" t="s">
        <v>25</v>
      </c>
      <c r="E259" t="s">
        <v>26</v>
      </c>
      <c r="F259" t="s">
        <v>21</v>
      </c>
      <c r="G259" t="s">
        <v>27</v>
      </c>
      <c r="H259">
        <v>6</v>
      </c>
      <c r="I259">
        <v>29.37</v>
      </c>
      <c r="J259">
        <v>0.1</v>
      </c>
      <c r="K259">
        <v>176.22</v>
      </c>
      <c r="L259">
        <v>35.4</v>
      </c>
    </row>
    <row r="260" spans="1:12" x14ac:dyDescent="0.3">
      <c r="A260" t="s">
        <v>297</v>
      </c>
      <c r="B260" s="1">
        <v>45888</v>
      </c>
      <c r="C260" t="s">
        <v>43</v>
      </c>
      <c r="D260" t="s">
        <v>25</v>
      </c>
      <c r="E260" t="s">
        <v>26</v>
      </c>
      <c r="F260" t="s">
        <v>16</v>
      </c>
      <c r="G260" t="s">
        <v>44</v>
      </c>
      <c r="H260">
        <v>7</v>
      </c>
      <c r="I260">
        <v>105.08</v>
      </c>
      <c r="J260">
        <v>0.2</v>
      </c>
      <c r="K260">
        <v>735.56</v>
      </c>
      <c r="L260">
        <v>92.07</v>
      </c>
    </row>
    <row r="261" spans="1:12" x14ac:dyDescent="0.3">
      <c r="A261" t="s">
        <v>298</v>
      </c>
      <c r="B261" s="1">
        <v>45701</v>
      </c>
      <c r="C261" t="s">
        <v>40</v>
      </c>
      <c r="D261" t="s">
        <v>38</v>
      </c>
      <c r="E261" t="s">
        <v>20</v>
      </c>
      <c r="F261" t="s">
        <v>16</v>
      </c>
      <c r="G261" t="s">
        <v>17</v>
      </c>
      <c r="H261">
        <v>5</v>
      </c>
      <c r="I261">
        <v>89.8</v>
      </c>
      <c r="J261">
        <v>0.05</v>
      </c>
      <c r="K261">
        <v>449</v>
      </c>
      <c r="L261">
        <v>95.37</v>
      </c>
    </row>
    <row r="262" spans="1:12" x14ac:dyDescent="0.3">
      <c r="A262" t="s">
        <v>299</v>
      </c>
      <c r="B262" s="1">
        <v>45820</v>
      </c>
      <c r="C262" t="s">
        <v>40</v>
      </c>
      <c r="D262" t="s">
        <v>29</v>
      </c>
      <c r="E262" t="s">
        <v>20</v>
      </c>
      <c r="F262" t="s">
        <v>16</v>
      </c>
      <c r="G262" t="s">
        <v>36</v>
      </c>
      <c r="H262">
        <v>8</v>
      </c>
      <c r="I262">
        <v>189.56</v>
      </c>
      <c r="J262">
        <v>0.1</v>
      </c>
      <c r="K262">
        <v>1516.48</v>
      </c>
      <c r="L262">
        <v>46.34</v>
      </c>
    </row>
    <row r="263" spans="1:12" x14ac:dyDescent="0.3">
      <c r="A263" t="s">
        <v>300</v>
      </c>
      <c r="B263" s="1">
        <v>45702</v>
      </c>
      <c r="C263" t="s">
        <v>24</v>
      </c>
      <c r="D263" t="s">
        <v>25</v>
      </c>
      <c r="E263" t="s">
        <v>26</v>
      </c>
      <c r="F263" t="s">
        <v>31</v>
      </c>
      <c r="G263" t="s">
        <v>32</v>
      </c>
      <c r="H263">
        <v>2</v>
      </c>
      <c r="I263">
        <v>27.74</v>
      </c>
      <c r="J263">
        <v>0.1</v>
      </c>
      <c r="K263">
        <v>55.48</v>
      </c>
      <c r="L263">
        <v>7.96</v>
      </c>
    </row>
    <row r="264" spans="1:12" x14ac:dyDescent="0.3">
      <c r="A264" t="s">
        <v>301</v>
      </c>
      <c r="B264" s="1">
        <v>45963</v>
      </c>
      <c r="C264" t="s">
        <v>40</v>
      </c>
      <c r="D264" t="s">
        <v>25</v>
      </c>
      <c r="E264" t="s">
        <v>15</v>
      </c>
      <c r="F264" t="s">
        <v>31</v>
      </c>
      <c r="G264" t="s">
        <v>59</v>
      </c>
      <c r="H264">
        <v>7</v>
      </c>
      <c r="I264">
        <v>392.9</v>
      </c>
      <c r="J264">
        <v>0.2</v>
      </c>
      <c r="K264">
        <v>2750.3</v>
      </c>
      <c r="L264">
        <v>512.39</v>
      </c>
    </row>
    <row r="265" spans="1:12" x14ac:dyDescent="0.3">
      <c r="A265" t="s">
        <v>302</v>
      </c>
      <c r="B265" s="1">
        <v>45782</v>
      </c>
      <c r="C265" t="s">
        <v>24</v>
      </c>
      <c r="D265" t="s">
        <v>66</v>
      </c>
      <c r="E265" t="s">
        <v>20</v>
      </c>
      <c r="F265" t="s">
        <v>21</v>
      </c>
      <c r="G265" t="s">
        <v>22</v>
      </c>
      <c r="H265">
        <v>5</v>
      </c>
      <c r="I265">
        <v>161.05000000000001</v>
      </c>
      <c r="J265">
        <v>0.15</v>
      </c>
      <c r="K265">
        <v>805.25</v>
      </c>
      <c r="L265">
        <v>15.29</v>
      </c>
    </row>
    <row r="266" spans="1:12" x14ac:dyDescent="0.3">
      <c r="A266" t="s">
        <v>303</v>
      </c>
      <c r="B266" s="1">
        <v>45743</v>
      </c>
      <c r="C266" t="s">
        <v>43</v>
      </c>
      <c r="D266" t="s">
        <v>46</v>
      </c>
      <c r="E266" t="s">
        <v>15</v>
      </c>
      <c r="F266" t="s">
        <v>31</v>
      </c>
      <c r="G266" t="s">
        <v>32</v>
      </c>
      <c r="H266">
        <v>2</v>
      </c>
      <c r="I266">
        <v>190.15</v>
      </c>
      <c r="J266">
        <v>0.05</v>
      </c>
      <c r="K266">
        <v>380.3</v>
      </c>
      <c r="L266">
        <v>79</v>
      </c>
    </row>
    <row r="267" spans="1:12" x14ac:dyDescent="0.3">
      <c r="A267" t="s">
        <v>304</v>
      </c>
      <c r="B267" s="1">
        <v>45911</v>
      </c>
      <c r="C267" t="s">
        <v>24</v>
      </c>
      <c r="D267" t="s">
        <v>29</v>
      </c>
      <c r="E267" t="s">
        <v>20</v>
      </c>
      <c r="F267" t="s">
        <v>31</v>
      </c>
      <c r="G267" t="s">
        <v>59</v>
      </c>
      <c r="H267">
        <v>1</v>
      </c>
      <c r="I267">
        <v>475.18</v>
      </c>
      <c r="J267">
        <v>0.1</v>
      </c>
      <c r="K267">
        <v>475.18</v>
      </c>
      <c r="L267">
        <v>102.36</v>
      </c>
    </row>
    <row r="268" spans="1:12" x14ac:dyDescent="0.3">
      <c r="A268" t="s">
        <v>305</v>
      </c>
      <c r="B268" s="1">
        <v>45852</v>
      </c>
      <c r="C268" t="s">
        <v>40</v>
      </c>
      <c r="D268" t="s">
        <v>66</v>
      </c>
      <c r="E268" t="s">
        <v>15</v>
      </c>
      <c r="F268" t="s">
        <v>31</v>
      </c>
      <c r="G268" t="s">
        <v>32</v>
      </c>
      <c r="H268">
        <v>5</v>
      </c>
      <c r="I268">
        <v>170.52</v>
      </c>
      <c r="J268">
        <v>0.05</v>
      </c>
      <c r="K268">
        <v>852.6</v>
      </c>
      <c r="L268">
        <v>125.55</v>
      </c>
    </row>
    <row r="269" spans="1:12" x14ac:dyDescent="0.3">
      <c r="A269" t="s">
        <v>306</v>
      </c>
      <c r="B269" s="1">
        <v>45748</v>
      </c>
      <c r="C269" t="s">
        <v>43</v>
      </c>
      <c r="D269" t="s">
        <v>46</v>
      </c>
      <c r="E269" t="s">
        <v>26</v>
      </c>
      <c r="F269" t="s">
        <v>31</v>
      </c>
      <c r="G269" t="s">
        <v>32</v>
      </c>
      <c r="H269">
        <v>4</v>
      </c>
      <c r="I269">
        <v>173.05</v>
      </c>
      <c r="J269">
        <v>0.1</v>
      </c>
      <c r="K269">
        <v>692.2</v>
      </c>
      <c r="L269">
        <v>144.76</v>
      </c>
    </row>
    <row r="270" spans="1:12" x14ac:dyDescent="0.3">
      <c r="A270" t="s">
        <v>307</v>
      </c>
      <c r="B270" s="1">
        <v>45859</v>
      </c>
      <c r="C270" t="s">
        <v>40</v>
      </c>
      <c r="D270" t="s">
        <v>66</v>
      </c>
      <c r="E270" t="s">
        <v>20</v>
      </c>
      <c r="F270" t="s">
        <v>16</v>
      </c>
      <c r="G270" t="s">
        <v>17</v>
      </c>
      <c r="H270">
        <v>1</v>
      </c>
      <c r="I270">
        <v>477.21</v>
      </c>
      <c r="J270">
        <v>0.15</v>
      </c>
      <c r="K270">
        <v>477.21</v>
      </c>
      <c r="L270">
        <v>104.15</v>
      </c>
    </row>
    <row r="271" spans="1:12" x14ac:dyDescent="0.3">
      <c r="A271" t="s">
        <v>308</v>
      </c>
      <c r="B271" s="1">
        <v>45765</v>
      </c>
      <c r="C271" t="s">
        <v>43</v>
      </c>
      <c r="D271" t="s">
        <v>25</v>
      </c>
      <c r="E271" t="s">
        <v>20</v>
      </c>
      <c r="F271" t="s">
        <v>31</v>
      </c>
      <c r="G271" t="s">
        <v>55</v>
      </c>
      <c r="H271">
        <v>8</v>
      </c>
      <c r="I271">
        <v>82.5</v>
      </c>
      <c r="J271">
        <v>0.1</v>
      </c>
      <c r="K271">
        <v>660</v>
      </c>
      <c r="L271">
        <v>43.23</v>
      </c>
    </row>
    <row r="272" spans="1:12" x14ac:dyDescent="0.3">
      <c r="A272" t="s">
        <v>309</v>
      </c>
      <c r="B272" s="1">
        <v>45995</v>
      </c>
      <c r="C272" t="s">
        <v>24</v>
      </c>
      <c r="D272" t="s">
        <v>38</v>
      </c>
      <c r="E272" t="s">
        <v>15</v>
      </c>
      <c r="F272" t="s">
        <v>21</v>
      </c>
      <c r="G272" t="s">
        <v>22</v>
      </c>
      <c r="H272">
        <v>8</v>
      </c>
      <c r="I272">
        <v>495.49</v>
      </c>
      <c r="J272">
        <v>0.15</v>
      </c>
      <c r="K272">
        <v>3963.92</v>
      </c>
      <c r="L272">
        <v>507.62</v>
      </c>
    </row>
    <row r="273" spans="1:12" x14ac:dyDescent="0.3">
      <c r="A273" t="s">
        <v>310</v>
      </c>
      <c r="B273" s="1">
        <v>45931</v>
      </c>
      <c r="C273" t="s">
        <v>43</v>
      </c>
      <c r="D273" t="s">
        <v>38</v>
      </c>
      <c r="E273" t="s">
        <v>15</v>
      </c>
      <c r="F273" t="s">
        <v>21</v>
      </c>
      <c r="G273" t="s">
        <v>48</v>
      </c>
      <c r="H273">
        <v>2</v>
      </c>
      <c r="I273">
        <v>387.94</v>
      </c>
      <c r="J273">
        <v>0.1</v>
      </c>
      <c r="K273">
        <v>775.88</v>
      </c>
      <c r="L273">
        <v>36.14</v>
      </c>
    </row>
    <row r="274" spans="1:12" x14ac:dyDescent="0.3">
      <c r="A274" t="s">
        <v>311</v>
      </c>
      <c r="B274" s="1">
        <v>45971</v>
      </c>
      <c r="C274" t="s">
        <v>13</v>
      </c>
      <c r="D274" t="s">
        <v>25</v>
      </c>
      <c r="E274" t="s">
        <v>26</v>
      </c>
      <c r="F274" t="s">
        <v>21</v>
      </c>
      <c r="G274" t="s">
        <v>27</v>
      </c>
      <c r="H274">
        <v>6</v>
      </c>
      <c r="I274">
        <v>483.37</v>
      </c>
      <c r="J274">
        <v>0.15</v>
      </c>
      <c r="K274">
        <v>2900.22</v>
      </c>
      <c r="L274">
        <v>26.06</v>
      </c>
    </row>
    <row r="275" spans="1:12" x14ac:dyDescent="0.3">
      <c r="A275" t="s">
        <v>312</v>
      </c>
      <c r="B275" s="1">
        <v>45708</v>
      </c>
      <c r="C275" t="s">
        <v>40</v>
      </c>
      <c r="D275" t="s">
        <v>14</v>
      </c>
      <c r="E275" t="s">
        <v>26</v>
      </c>
      <c r="F275" t="s">
        <v>16</v>
      </c>
      <c r="G275" t="s">
        <v>17</v>
      </c>
      <c r="H275">
        <v>8</v>
      </c>
      <c r="I275">
        <v>196.45</v>
      </c>
      <c r="J275">
        <v>0.15</v>
      </c>
      <c r="K275">
        <v>1571.6</v>
      </c>
      <c r="L275">
        <v>275.95</v>
      </c>
    </row>
    <row r="276" spans="1:12" x14ac:dyDescent="0.3">
      <c r="A276" t="s">
        <v>313</v>
      </c>
      <c r="B276" s="1">
        <v>45959</v>
      </c>
      <c r="C276" t="s">
        <v>24</v>
      </c>
      <c r="D276" t="s">
        <v>38</v>
      </c>
      <c r="E276" t="s">
        <v>15</v>
      </c>
      <c r="F276" t="s">
        <v>31</v>
      </c>
      <c r="G276" t="s">
        <v>59</v>
      </c>
      <c r="H276">
        <v>5</v>
      </c>
      <c r="I276">
        <v>216.75</v>
      </c>
      <c r="J276">
        <v>0</v>
      </c>
      <c r="K276">
        <v>1083.75</v>
      </c>
      <c r="L276">
        <v>85.64</v>
      </c>
    </row>
    <row r="277" spans="1:12" x14ac:dyDescent="0.3">
      <c r="A277" t="s">
        <v>314</v>
      </c>
      <c r="B277" s="1">
        <v>45730</v>
      </c>
      <c r="C277" t="s">
        <v>40</v>
      </c>
      <c r="D277" t="s">
        <v>14</v>
      </c>
      <c r="E277" t="s">
        <v>15</v>
      </c>
      <c r="F277" t="s">
        <v>31</v>
      </c>
      <c r="G277" t="s">
        <v>32</v>
      </c>
      <c r="H277">
        <v>8</v>
      </c>
      <c r="I277">
        <v>183.93</v>
      </c>
      <c r="J277">
        <v>0</v>
      </c>
      <c r="K277">
        <v>1471.44</v>
      </c>
      <c r="L277">
        <v>234.76</v>
      </c>
    </row>
    <row r="278" spans="1:12" x14ac:dyDescent="0.3">
      <c r="A278" t="s">
        <v>315</v>
      </c>
      <c r="B278" s="1">
        <v>46014</v>
      </c>
      <c r="C278" t="s">
        <v>43</v>
      </c>
      <c r="D278" t="s">
        <v>19</v>
      </c>
      <c r="E278" t="s">
        <v>15</v>
      </c>
      <c r="F278" t="s">
        <v>31</v>
      </c>
      <c r="G278" t="s">
        <v>59</v>
      </c>
      <c r="H278">
        <v>2</v>
      </c>
      <c r="I278">
        <v>25.95</v>
      </c>
      <c r="J278">
        <v>0.1</v>
      </c>
      <c r="K278">
        <v>51.9</v>
      </c>
      <c r="L278">
        <v>8.67</v>
      </c>
    </row>
    <row r="279" spans="1:12" x14ac:dyDescent="0.3">
      <c r="A279" t="s">
        <v>316</v>
      </c>
      <c r="B279" s="1">
        <v>46004</v>
      </c>
      <c r="C279" t="s">
        <v>24</v>
      </c>
      <c r="D279" t="s">
        <v>66</v>
      </c>
      <c r="E279" t="s">
        <v>26</v>
      </c>
      <c r="F279" t="s">
        <v>21</v>
      </c>
      <c r="G279" t="s">
        <v>48</v>
      </c>
      <c r="H279">
        <v>3</v>
      </c>
      <c r="I279">
        <v>175.53</v>
      </c>
      <c r="J279">
        <v>0.15</v>
      </c>
      <c r="K279">
        <v>526.59</v>
      </c>
      <c r="L279">
        <v>116.96</v>
      </c>
    </row>
    <row r="280" spans="1:12" x14ac:dyDescent="0.3">
      <c r="A280" t="s">
        <v>317</v>
      </c>
      <c r="B280" s="1">
        <v>45776</v>
      </c>
      <c r="C280" t="s">
        <v>43</v>
      </c>
      <c r="D280" t="s">
        <v>25</v>
      </c>
      <c r="E280" t="s">
        <v>20</v>
      </c>
      <c r="F280" t="s">
        <v>21</v>
      </c>
      <c r="G280" t="s">
        <v>48</v>
      </c>
      <c r="H280">
        <v>7</v>
      </c>
      <c r="I280">
        <v>29.16</v>
      </c>
      <c r="J280">
        <v>0.2</v>
      </c>
      <c r="K280">
        <v>204.12</v>
      </c>
      <c r="L280">
        <v>36.9</v>
      </c>
    </row>
    <row r="281" spans="1:12" x14ac:dyDescent="0.3">
      <c r="A281" t="s">
        <v>318</v>
      </c>
      <c r="B281" s="1">
        <v>45888</v>
      </c>
      <c r="C281" t="s">
        <v>43</v>
      </c>
      <c r="D281" t="s">
        <v>14</v>
      </c>
      <c r="E281" t="s">
        <v>26</v>
      </c>
      <c r="F281" t="s">
        <v>31</v>
      </c>
      <c r="G281" t="s">
        <v>59</v>
      </c>
      <c r="H281">
        <v>4</v>
      </c>
      <c r="I281">
        <v>150</v>
      </c>
      <c r="J281">
        <v>0</v>
      </c>
      <c r="K281">
        <v>600</v>
      </c>
      <c r="L281">
        <v>116.6</v>
      </c>
    </row>
    <row r="282" spans="1:12" x14ac:dyDescent="0.3">
      <c r="A282" t="s">
        <v>319</v>
      </c>
      <c r="B282" s="1">
        <v>45932</v>
      </c>
      <c r="C282" t="s">
        <v>24</v>
      </c>
      <c r="D282" t="s">
        <v>46</v>
      </c>
      <c r="E282" t="s">
        <v>20</v>
      </c>
      <c r="F282" t="s">
        <v>31</v>
      </c>
      <c r="G282" t="s">
        <v>32</v>
      </c>
      <c r="H282">
        <v>2</v>
      </c>
      <c r="I282">
        <v>142.24</v>
      </c>
      <c r="J282">
        <v>0.15</v>
      </c>
      <c r="K282">
        <v>284.48</v>
      </c>
      <c r="L282">
        <v>32.549999999999997</v>
      </c>
    </row>
    <row r="283" spans="1:12" x14ac:dyDescent="0.3">
      <c r="A283" t="s">
        <v>320</v>
      </c>
      <c r="B283" s="1">
        <v>45985</v>
      </c>
      <c r="C283" t="s">
        <v>40</v>
      </c>
      <c r="D283" t="s">
        <v>25</v>
      </c>
      <c r="E283" t="s">
        <v>26</v>
      </c>
      <c r="F283" t="s">
        <v>21</v>
      </c>
      <c r="G283" t="s">
        <v>22</v>
      </c>
      <c r="H283">
        <v>2</v>
      </c>
      <c r="I283">
        <v>183.74</v>
      </c>
      <c r="J283">
        <v>0.15</v>
      </c>
      <c r="K283">
        <v>367.48</v>
      </c>
      <c r="L283">
        <v>50.29</v>
      </c>
    </row>
    <row r="284" spans="1:12" x14ac:dyDescent="0.3">
      <c r="A284" t="s">
        <v>321</v>
      </c>
      <c r="B284" s="1">
        <v>46002</v>
      </c>
      <c r="C284" t="s">
        <v>40</v>
      </c>
      <c r="D284" t="s">
        <v>66</v>
      </c>
      <c r="E284" t="s">
        <v>20</v>
      </c>
      <c r="F284" t="s">
        <v>21</v>
      </c>
      <c r="G284" t="s">
        <v>27</v>
      </c>
      <c r="H284">
        <v>6</v>
      </c>
      <c r="I284">
        <v>72.16</v>
      </c>
      <c r="J284">
        <v>0.1</v>
      </c>
      <c r="K284">
        <v>432.96</v>
      </c>
      <c r="L284">
        <v>14.82</v>
      </c>
    </row>
    <row r="285" spans="1:12" x14ac:dyDescent="0.3">
      <c r="A285" t="s">
        <v>322</v>
      </c>
      <c r="B285" s="1">
        <v>45849</v>
      </c>
      <c r="C285" t="s">
        <v>24</v>
      </c>
      <c r="D285" t="s">
        <v>66</v>
      </c>
      <c r="E285" t="s">
        <v>15</v>
      </c>
      <c r="F285" t="s">
        <v>21</v>
      </c>
      <c r="G285" t="s">
        <v>22</v>
      </c>
      <c r="H285">
        <v>7</v>
      </c>
      <c r="I285">
        <v>220.17</v>
      </c>
      <c r="J285">
        <v>0.15</v>
      </c>
      <c r="K285">
        <v>1541.19</v>
      </c>
      <c r="L285">
        <v>217.89</v>
      </c>
    </row>
    <row r="286" spans="1:12" x14ac:dyDescent="0.3">
      <c r="A286" t="s">
        <v>323</v>
      </c>
      <c r="B286" s="1">
        <v>46013</v>
      </c>
      <c r="C286" t="s">
        <v>24</v>
      </c>
      <c r="D286" t="s">
        <v>29</v>
      </c>
      <c r="E286" t="s">
        <v>15</v>
      </c>
      <c r="F286" t="s">
        <v>21</v>
      </c>
      <c r="G286" t="s">
        <v>48</v>
      </c>
      <c r="H286">
        <v>3</v>
      </c>
      <c r="I286">
        <v>105.74</v>
      </c>
      <c r="J286">
        <v>0.15</v>
      </c>
      <c r="K286">
        <v>317.22000000000003</v>
      </c>
      <c r="L286">
        <v>43.57</v>
      </c>
    </row>
    <row r="287" spans="1:12" x14ac:dyDescent="0.3">
      <c r="A287" t="s">
        <v>324</v>
      </c>
      <c r="B287" s="1">
        <v>45841</v>
      </c>
      <c r="C287" t="s">
        <v>13</v>
      </c>
      <c r="D287" t="s">
        <v>25</v>
      </c>
      <c r="E287" t="s">
        <v>20</v>
      </c>
      <c r="F287" t="s">
        <v>31</v>
      </c>
      <c r="G287" t="s">
        <v>59</v>
      </c>
      <c r="H287">
        <v>8</v>
      </c>
      <c r="I287">
        <v>213.43</v>
      </c>
      <c r="J287">
        <v>0.15</v>
      </c>
      <c r="K287">
        <v>1707.44</v>
      </c>
      <c r="L287">
        <v>147.54</v>
      </c>
    </row>
    <row r="288" spans="1:12" x14ac:dyDescent="0.3">
      <c r="A288" t="s">
        <v>325</v>
      </c>
      <c r="B288" s="1">
        <v>45885</v>
      </c>
      <c r="C288" t="s">
        <v>43</v>
      </c>
      <c r="D288" t="s">
        <v>19</v>
      </c>
      <c r="E288" t="s">
        <v>26</v>
      </c>
      <c r="F288" t="s">
        <v>16</v>
      </c>
      <c r="G288" t="s">
        <v>36</v>
      </c>
      <c r="H288">
        <v>4</v>
      </c>
      <c r="I288">
        <v>156.66</v>
      </c>
      <c r="J288">
        <v>0.1</v>
      </c>
      <c r="K288">
        <v>626.64</v>
      </c>
      <c r="L288">
        <v>38.36</v>
      </c>
    </row>
    <row r="289" spans="1:12" x14ac:dyDescent="0.3">
      <c r="A289" t="s">
        <v>326</v>
      </c>
      <c r="B289" s="1">
        <v>45805</v>
      </c>
      <c r="C289" t="s">
        <v>24</v>
      </c>
      <c r="D289" t="s">
        <v>46</v>
      </c>
      <c r="E289" t="s">
        <v>26</v>
      </c>
      <c r="F289" t="s">
        <v>31</v>
      </c>
      <c r="G289" t="s">
        <v>55</v>
      </c>
      <c r="H289">
        <v>2</v>
      </c>
      <c r="I289">
        <v>292.77</v>
      </c>
      <c r="J289">
        <v>0.1</v>
      </c>
      <c r="K289">
        <v>585.54</v>
      </c>
      <c r="L289">
        <v>116.39</v>
      </c>
    </row>
    <row r="290" spans="1:12" x14ac:dyDescent="0.3">
      <c r="A290" t="s">
        <v>327</v>
      </c>
      <c r="B290" s="1">
        <v>45845</v>
      </c>
      <c r="C290" t="s">
        <v>13</v>
      </c>
      <c r="D290" t="s">
        <v>14</v>
      </c>
      <c r="E290" t="s">
        <v>26</v>
      </c>
      <c r="F290" t="s">
        <v>21</v>
      </c>
      <c r="G290" t="s">
        <v>22</v>
      </c>
      <c r="H290">
        <v>7</v>
      </c>
      <c r="I290">
        <v>64.67</v>
      </c>
      <c r="J290">
        <v>0.05</v>
      </c>
      <c r="K290">
        <v>452.69</v>
      </c>
      <c r="L290">
        <v>46.14</v>
      </c>
    </row>
    <row r="291" spans="1:12" x14ac:dyDescent="0.3">
      <c r="A291" t="s">
        <v>328</v>
      </c>
      <c r="B291" s="1">
        <v>45674</v>
      </c>
      <c r="C291" t="s">
        <v>43</v>
      </c>
      <c r="D291" t="s">
        <v>46</v>
      </c>
      <c r="E291" t="s">
        <v>20</v>
      </c>
      <c r="F291" t="s">
        <v>31</v>
      </c>
      <c r="G291" t="s">
        <v>32</v>
      </c>
      <c r="H291">
        <v>2</v>
      </c>
      <c r="I291">
        <v>391.18</v>
      </c>
      <c r="J291">
        <v>0.05</v>
      </c>
      <c r="K291">
        <v>782.36</v>
      </c>
      <c r="L291">
        <v>62.56</v>
      </c>
    </row>
    <row r="292" spans="1:12" x14ac:dyDescent="0.3">
      <c r="A292" t="s">
        <v>329</v>
      </c>
      <c r="B292" s="1">
        <v>45959</v>
      </c>
      <c r="C292" t="s">
        <v>40</v>
      </c>
      <c r="D292" t="s">
        <v>25</v>
      </c>
      <c r="E292" t="s">
        <v>26</v>
      </c>
      <c r="F292" t="s">
        <v>21</v>
      </c>
      <c r="G292" t="s">
        <v>27</v>
      </c>
      <c r="H292">
        <v>3</v>
      </c>
      <c r="I292">
        <v>313.83</v>
      </c>
      <c r="J292">
        <v>0.05</v>
      </c>
      <c r="K292">
        <v>941.49</v>
      </c>
      <c r="L292">
        <v>217.37</v>
      </c>
    </row>
    <row r="293" spans="1:12" x14ac:dyDescent="0.3">
      <c r="A293" t="s">
        <v>330</v>
      </c>
      <c r="B293" s="1">
        <v>45688</v>
      </c>
      <c r="C293" t="s">
        <v>40</v>
      </c>
      <c r="D293" t="s">
        <v>66</v>
      </c>
      <c r="E293" t="s">
        <v>26</v>
      </c>
      <c r="F293" t="s">
        <v>21</v>
      </c>
      <c r="G293" t="s">
        <v>22</v>
      </c>
      <c r="H293">
        <v>6</v>
      </c>
      <c r="I293">
        <v>489.82</v>
      </c>
      <c r="J293">
        <v>0.1</v>
      </c>
      <c r="K293">
        <v>2938.92</v>
      </c>
      <c r="L293">
        <v>227.28</v>
      </c>
    </row>
    <row r="294" spans="1:12" x14ac:dyDescent="0.3">
      <c r="A294" t="s">
        <v>331</v>
      </c>
      <c r="B294" s="1">
        <v>45794</v>
      </c>
      <c r="C294" t="s">
        <v>13</v>
      </c>
      <c r="D294" t="s">
        <v>29</v>
      </c>
      <c r="E294" t="s">
        <v>20</v>
      </c>
      <c r="F294" t="s">
        <v>16</v>
      </c>
      <c r="G294" t="s">
        <v>44</v>
      </c>
      <c r="H294">
        <v>3</v>
      </c>
      <c r="I294">
        <v>355.19</v>
      </c>
      <c r="J294">
        <v>0.05</v>
      </c>
      <c r="K294">
        <v>1065.57</v>
      </c>
      <c r="L294">
        <v>95.82</v>
      </c>
    </row>
    <row r="295" spans="1:12" x14ac:dyDescent="0.3">
      <c r="A295" t="s">
        <v>332</v>
      </c>
      <c r="B295" s="1">
        <v>46022</v>
      </c>
      <c r="C295" t="s">
        <v>40</v>
      </c>
      <c r="D295" t="s">
        <v>46</v>
      </c>
      <c r="E295" t="s">
        <v>15</v>
      </c>
      <c r="F295" t="s">
        <v>16</v>
      </c>
      <c r="G295" t="s">
        <v>17</v>
      </c>
      <c r="H295">
        <v>3</v>
      </c>
      <c r="I295">
        <v>295.05</v>
      </c>
      <c r="J295">
        <v>0.1</v>
      </c>
      <c r="K295">
        <v>885.15</v>
      </c>
      <c r="L295">
        <v>143.35</v>
      </c>
    </row>
    <row r="296" spans="1:12" x14ac:dyDescent="0.3">
      <c r="A296" t="s">
        <v>333</v>
      </c>
      <c r="B296" s="1">
        <v>45850</v>
      </c>
      <c r="C296" t="s">
        <v>43</v>
      </c>
      <c r="D296" t="s">
        <v>25</v>
      </c>
      <c r="E296" t="s">
        <v>20</v>
      </c>
      <c r="F296" t="s">
        <v>16</v>
      </c>
      <c r="G296" t="s">
        <v>17</v>
      </c>
      <c r="H296">
        <v>5</v>
      </c>
      <c r="I296">
        <v>351.93</v>
      </c>
      <c r="J296">
        <v>0.1</v>
      </c>
      <c r="K296">
        <v>1759.65</v>
      </c>
      <c r="L296">
        <v>208.82</v>
      </c>
    </row>
    <row r="297" spans="1:12" x14ac:dyDescent="0.3">
      <c r="A297" t="s">
        <v>334</v>
      </c>
      <c r="B297" s="1">
        <v>45907</v>
      </c>
      <c r="C297" t="s">
        <v>40</v>
      </c>
      <c r="D297" t="s">
        <v>38</v>
      </c>
      <c r="E297" t="s">
        <v>26</v>
      </c>
      <c r="F297" t="s">
        <v>21</v>
      </c>
      <c r="G297" t="s">
        <v>48</v>
      </c>
      <c r="H297">
        <v>8</v>
      </c>
      <c r="I297">
        <v>322.89999999999998</v>
      </c>
      <c r="J297">
        <v>0.1</v>
      </c>
      <c r="K297">
        <v>2583.1999999999998</v>
      </c>
      <c r="L297">
        <v>561.91</v>
      </c>
    </row>
    <row r="298" spans="1:12" x14ac:dyDescent="0.3">
      <c r="A298" t="s">
        <v>335</v>
      </c>
      <c r="B298" s="1">
        <v>45931</v>
      </c>
      <c r="C298" t="s">
        <v>43</v>
      </c>
      <c r="D298" t="s">
        <v>46</v>
      </c>
      <c r="E298" t="s">
        <v>20</v>
      </c>
      <c r="F298" t="s">
        <v>16</v>
      </c>
      <c r="G298" t="s">
        <v>44</v>
      </c>
      <c r="H298">
        <v>5</v>
      </c>
      <c r="I298">
        <v>171.59</v>
      </c>
      <c r="J298">
        <v>0.1</v>
      </c>
      <c r="K298">
        <v>857.95</v>
      </c>
      <c r="L298">
        <v>76.73</v>
      </c>
    </row>
    <row r="299" spans="1:12" x14ac:dyDescent="0.3">
      <c r="A299" t="s">
        <v>336</v>
      </c>
      <c r="B299" s="1">
        <v>45953</v>
      </c>
      <c r="C299" t="s">
        <v>24</v>
      </c>
      <c r="D299" t="s">
        <v>19</v>
      </c>
      <c r="E299" t="s">
        <v>15</v>
      </c>
      <c r="F299" t="s">
        <v>21</v>
      </c>
      <c r="G299" t="s">
        <v>22</v>
      </c>
      <c r="H299">
        <v>1</v>
      </c>
      <c r="I299">
        <v>63.29</v>
      </c>
      <c r="J299">
        <v>0.15</v>
      </c>
      <c r="K299">
        <v>63.29</v>
      </c>
      <c r="L299">
        <v>-0.85</v>
      </c>
    </row>
    <row r="300" spans="1:12" x14ac:dyDescent="0.3">
      <c r="A300" t="s">
        <v>337</v>
      </c>
      <c r="B300" s="1">
        <v>45738</v>
      </c>
      <c r="C300" t="s">
        <v>43</v>
      </c>
      <c r="D300" t="s">
        <v>14</v>
      </c>
      <c r="E300" t="s">
        <v>15</v>
      </c>
      <c r="F300" t="s">
        <v>31</v>
      </c>
      <c r="G300" t="s">
        <v>59</v>
      </c>
      <c r="H300">
        <v>3</v>
      </c>
      <c r="I300">
        <v>442.84</v>
      </c>
      <c r="J300">
        <v>0.1</v>
      </c>
      <c r="K300">
        <v>1328.52</v>
      </c>
      <c r="L300">
        <v>59.44</v>
      </c>
    </row>
    <row r="301" spans="1:12" x14ac:dyDescent="0.3">
      <c r="A301" t="s">
        <v>338</v>
      </c>
      <c r="B301" s="1">
        <v>45798</v>
      </c>
      <c r="C301" t="s">
        <v>13</v>
      </c>
      <c r="D301" t="s">
        <v>38</v>
      </c>
      <c r="E301" t="s">
        <v>15</v>
      </c>
      <c r="F301" t="s">
        <v>21</v>
      </c>
      <c r="G301" t="s">
        <v>22</v>
      </c>
      <c r="H301">
        <v>6</v>
      </c>
      <c r="I301">
        <v>337.29</v>
      </c>
      <c r="J301">
        <v>0.05</v>
      </c>
      <c r="K301">
        <v>2023.74</v>
      </c>
      <c r="L301">
        <v>81.849999999999994</v>
      </c>
    </row>
    <row r="302" spans="1:12" x14ac:dyDescent="0.3">
      <c r="A302" t="s">
        <v>339</v>
      </c>
      <c r="B302" s="1">
        <v>45978</v>
      </c>
      <c r="C302" t="s">
        <v>40</v>
      </c>
      <c r="D302" t="s">
        <v>25</v>
      </c>
      <c r="E302" t="s">
        <v>20</v>
      </c>
      <c r="F302" t="s">
        <v>21</v>
      </c>
      <c r="G302" t="s">
        <v>27</v>
      </c>
      <c r="H302">
        <v>2</v>
      </c>
      <c r="I302">
        <v>356.29</v>
      </c>
      <c r="J302">
        <v>0</v>
      </c>
      <c r="K302">
        <v>712.58</v>
      </c>
      <c r="L302">
        <v>73.650000000000006</v>
      </c>
    </row>
    <row r="303" spans="1:12" x14ac:dyDescent="0.3">
      <c r="A303" t="s">
        <v>340</v>
      </c>
      <c r="B303" s="1">
        <v>45697</v>
      </c>
      <c r="C303" t="s">
        <v>24</v>
      </c>
      <c r="D303" t="s">
        <v>46</v>
      </c>
      <c r="E303" t="s">
        <v>26</v>
      </c>
      <c r="F303" t="s">
        <v>21</v>
      </c>
      <c r="G303" t="s">
        <v>48</v>
      </c>
      <c r="H303">
        <v>1</v>
      </c>
      <c r="I303">
        <v>18.91</v>
      </c>
      <c r="J303">
        <v>0.1</v>
      </c>
      <c r="K303">
        <v>18.91</v>
      </c>
      <c r="L303">
        <v>3.96</v>
      </c>
    </row>
    <row r="304" spans="1:12" x14ac:dyDescent="0.3">
      <c r="A304" t="s">
        <v>341</v>
      </c>
      <c r="B304" s="1">
        <v>45874</v>
      </c>
      <c r="C304" t="s">
        <v>24</v>
      </c>
      <c r="D304" t="s">
        <v>25</v>
      </c>
      <c r="E304" t="s">
        <v>20</v>
      </c>
      <c r="F304" t="s">
        <v>31</v>
      </c>
      <c r="G304" t="s">
        <v>59</v>
      </c>
      <c r="H304">
        <v>2</v>
      </c>
      <c r="I304">
        <v>369.42</v>
      </c>
      <c r="J304">
        <v>0</v>
      </c>
      <c r="K304">
        <v>738.84</v>
      </c>
      <c r="L304">
        <v>56</v>
      </c>
    </row>
    <row r="305" spans="1:12" x14ac:dyDescent="0.3">
      <c r="A305" t="s">
        <v>342</v>
      </c>
      <c r="B305" s="1">
        <v>45846</v>
      </c>
      <c r="C305" t="s">
        <v>40</v>
      </c>
      <c r="D305" t="s">
        <v>66</v>
      </c>
      <c r="E305" t="s">
        <v>20</v>
      </c>
      <c r="F305" t="s">
        <v>16</v>
      </c>
      <c r="G305" t="s">
        <v>44</v>
      </c>
      <c r="H305">
        <v>2</v>
      </c>
      <c r="I305">
        <v>272.3</v>
      </c>
      <c r="J305">
        <v>0</v>
      </c>
      <c r="K305">
        <v>544.6</v>
      </c>
      <c r="L305">
        <v>110.32</v>
      </c>
    </row>
    <row r="306" spans="1:12" x14ac:dyDescent="0.3">
      <c r="A306" t="s">
        <v>343</v>
      </c>
      <c r="B306" s="1">
        <v>45742</v>
      </c>
      <c r="C306" t="s">
        <v>43</v>
      </c>
      <c r="D306" t="s">
        <v>66</v>
      </c>
      <c r="E306" t="s">
        <v>20</v>
      </c>
      <c r="F306" t="s">
        <v>31</v>
      </c>
      <c r="G306" t="s">
        <v>55</v>
      </c>
      <c r="H306">
        <v>7</v>
      </c>
      <c r="I306">
        <v>313.8</v>
      </c>
      <c r="J306">
        <v>0.15</v>
      </c>
      <c r="K306">
        <v>2196.6</v>
      </c>
      <c r="L306">
        <v>433.81</v>
      </c>
    </row>
    <row r="307" spans="1:12" x14ac:dyDescent="0.3">
      <c r="A307" t="s">
        <v>344</v>
      </c>
      <c r="B307" s="1">
        <v>45702</v>
      </c>
      <c r="C307" t="s">
        <v>13</v>
      </c>
      <c r="D307" t="s">
        <v>25</v>
      </c>
      <c r="E307" t="s">
        <v>26</v>
      </c>
      <c r="F307" t="s">
        <v>16</v>
      </c>
      <c r="G307" t="s">
        <v>36</v>
      </c>
      <c r="H307">
        <v>6</v>
      </c>
      <c r="I307">
        <v>482.18</v>
      </c>
      <c r="J307">
        <v>0.1</v>
      </c>
      <c r="K307">
        <v>2893.08</v>
      </c>
      <c r="L307">
        <v>586.63</v>
      </c>
    </row>
    <row r="308" spans="1:12" x14ac:dyDescent="0.3">
      <c r="A308" t="s">
        <v>345</v>
      </c>
      <c r="B308" s="1">
        <v>45784</v>
      </c>
      <c r="C308" t="s">
        <v>40</v>
      </c>
      <c r="D308" t="s">
        <v>29</v>
      </c>
      <c r="E308" t="s">
        <v>20</v>
      </c>
      <c r="F308" t="s">
        <v>21</v>
      </c>
      <c r="G308" t="s">
        <v>48</v>
      </c>
      <c r="H308">
        <v>1</v>
      </c>
      <c r="I308">
        <v>426.23</v>
      </c>
      <c r="J308">
        <v>0.1</v>
      </c>
      <c r="K308">
        <v>426.23</v>
      </c>
      <c r="L308">
        <v>24.02</v>
      </c>
    </row>
    <row r="309" spans="1:12" x14ac:dyDescent="0.3">
      <c r="A309" t="s">
        <v>346</v>
      </c>
      <c r="B309" s="1">
        <v>45968</v>
      </c>
      <c r="C309" t="s">
        <v>24</v>
      </c>
      <c r="D309" t="s">
        <v>19</v>
      </c>
      <c r="E309" t="s">
        <v>15</v>
      </c>
      <c r="F309" t="s">
        <v>21</v>
      </c>
      <c r="G309" t="s">
        <v>22</v>
      </c>
      <c r="H309">
        <v>4</v>
      </c>
      <c r="I309">
        <v>255.02</v>
      </c>
      <c r="J309">
        <v>0</v>
      </c>
      <c r="K309">
        <v>1020.08</v>
      </c>
      <c r="L309">
        <v>112.48</v>
      </c>
    </row>
    <row r="310" spans="1:12" x14ac:dyDescent="0.3">
      <c r="A310" t="s">
        <v>347</v>
      </c>
      <c r="B310" s="1">
        <v>45984</v>
      </c>
      <c r="C310" t="s">
        <v>13</v>
      </c>
      <c r="D310" t="s">
        <v>34</v>
      </c>
      <c r="E310" t="s">
        <v>15</v>
      </c>
      <c r="F310" t="s">
        <v>21</v>
      </c>
      <c r="G310" t="s">
        <v>48</v>
      </c>
      <c r="H310">
        <v>3</v>
      </c>
      <c r="I310">
        <v>202.62</v>
      </c>
      <c r="J310">
        <v>0.2</v>
      </c>
      <c r="K310">
        <v>607.86</v>
      </c>
      <c r="L310">
        <v>39.64</v>
      </c>
    </row>
    <row r="311" spans="1:12" x14ac:dyDescent="0.3">
      <c r="A311" t="s">
        <v>348</v>
      </c>
      <c r="B311" s="1">
        <v>45937</v>
      </c>
      <c r="C311" t="s">
        <v>24</v>
      </c>
      <c r="D311" t="s">
        <v>38</v>
      </c>
      <c r="E311" t="s">
        <v>20</v>
      </c>
      <c r="F311" t="s">
        <v>31</v>
      </c>
      <c r="G311" t="s">
        <v>59</v>
      </c>
      <c r="H311">
        <v>1</v>
      </c>
      <c r="I311">
        <v>142.16</v>
      </c>
      <c r="J311">
        <v>0</v>
      </c>
      <c r="K311">
        <v>142.16</v>
      </c>
      <c r="L311">
        <v>39.9</v>
      </c>
    </row>
    <row r="312" spans="1:12" x14ac:dyDescent="0.3">
      <c r="A312" t="s">
        <v>349</v>
      </c>
      <c r="B312" s="1">
        <v>45861</v>
      </c>
      <c r="C312" t="s">
        <v>40</v>
      </c>
      <c r="D312" t="s">
        <v>25</v>
      </c>
      <c r="E312" t="s">
        <v>26</v>
      </c>
      <c r="F312" t="s">
        <v>21</v>
      </c>
      <c r="G312" t="s">
        <v>27</v>
      </c>
      <c r="H312">
        <v>7</v>
      </c>
      <c r="I312">
        <v>355.38</v>
      </c>
      <c r="J312">
        <v>0</v>
      </c>
      <c r="K312">
        <v>2487.66</v>
      </c>
      <c r="L312">
        <v>522.74</v>
      </c>
    </row>
    <row r="313" spans="1:12" x14ac:dyDescent="0.3">
      <c r="A313" t="s">
        <v>350</v>
      </c>
      <c r="B313" s="1">
        <v>45933</v>
      </c>
      <c r="C313" t="s">
        <v>24</v>
      </c>
      <c r="D313" t="s">
        <v>38</v>
      </c>
      <c r="E313" t="s">
        <v>15</v>
      </c>
      <c r="F313" t="s">
        <v>31</v>
      </c>
      <c r="G313" t="s">
        <v>59</v>
      </c>
      <c r="H313">
        <v>4</v>
      </c>
      <c r="I313">
        <v>487.54</v>
      </c>
      <c r="J313">
        <v>0.05</v>
      </c>
      <c r="K313">
        <v>1950.16</v>
      </c>
      <c r="L313">
        <v>315.14</v>
      </c>
    </row>
    <row r="314" spans="1:12" x14ac:dyDescent="0.3">
      <c r="A314" t="s">
        <v>351</v>
      </c>
      <c r="B314" s="1">
        <v>45858</v>
      </c>
      <c r="C314" t="s">
        <v>13</v>
      </c>
      <c r="D314" t="s">
        <v>14</v>
      </c>
      <c r="E314" t="s">
        <v>15</v>
      </c>
      <c r="F314" t="s">
        <v>31</v>
      </c>
      <c r="G314" t="s">
        <v>55</v>
      </c>
      <c r="H314">
        <v>1</v>
      </c>
      <c r="I314">
        <v>133.57</v>
      </c>
      <c r="J314">
        <v>0.15</v>
      </c>
      <c r="K314">
        <v>133.57</v>
      </c>
      <c r="L314">
        <v>1.54</v>
      </c>
    </row>
    <row r="315" spans="1:12" x14ac:dyDescent="0.3">
      <c r="A315" t="s">
        <v>352</v>
      </c>
      <c r="B315" s="1">
        <v>45971</v>
      </c>
      <c r="C315" t="s">
        <v>13</v>
      </c>
      <c r="D315" t="s">
        <v>66</v>
      </c>
      <c r="E315" t="s">
        <v>26</v>
      </c>
      <c r="F315" t="s">
        <v>31</v>
      </c>
      <c r="G315" t="s">
        <v>55</v>
      </c>
      <c r="H315">
        <v>2</v>
      </c>
      <c r="I315">
        <v>21.14</v>
      </c>
      <c r="J315">
        <v>0.05</v>
      </c>
      <c r="K315">
        <v>42.28</v>
      </c>
      <c r="L315">
        <v>8.58</v>
      </c>
    </row>
    <row r="316" spans="1:12" x14ac:dyDescent="0.3">
      <c r="A316" t="s">
        <v>353</v>
      </c>
      <c r="B316" s="1">
        <v>45741</v>
      </c>
      <c r="C316" t="s">
        <v>43</v>
      </c>
      <c r="D316" t="s">
        <v>29</v>
      </c>
      <c r="E316" t="s">
        <v>26</v>
      </c>
      <c r="F316" t="s">
        <v>31</v>
      </c>
      <c r="G316" t="s">
        <v>55</v>
      </c>
      <c r="H316">
        <v>3</v>
      </c>
      <c r="I316">
        <v>195.36</v>
      </c>
      <c r="J316">
        <v>0.1</v>
      </c>
      <c r="K316">
        <v>586.08000000000004</v>
      </c>
      <c r="L316">
        <v>110.32</v>
      </c>
    </row>
    <row r="317" spans="1:12" x14ac:dyDescent="0.3">
      <c r="A317" t="s">
        <v>354</v>
      </c>
      <c r="B317" s="1">
        <v>45718</v>
      </c>
      <c r="C317" t="s">
        <v>13</v>
      </c>
      <c r="D317" t="s">
        <v>38</v>
      </c>
      <c r="E317" t="s">
        <v>15</v>
      </c>
      <c r="F317" t="s">
        <v>31</v>
      </c>
      <c r="G317" t="s">
        <v>32</v>
      </c>
      <c r="H317">
        <v>5</v>
      </c>
      <c r="I317">
        <v>360.48</v>
      </c>
      <c r="J317">
        <v>0.2</v>
      </c>
      <c r="K317">
        <v>1802.4</v>
      </c>
      <c r="L317">
        <v>210.67</v>
      </c>
    </row>
    <row r="318" spans="1:12" x14ac:dyDescent="0.3">
      <c r="A318" t="s">
        <v>355</v>
      </c>
      <c r="B318" s="1">
        <v>45912</v>
      </c>
      <c r="C318" t="s">
        <v>43</v>
      </c>
      <c r="D318" t="s">
        <v>46</v>
      </c>
      <c r="E318" t="s">
        <v>20</v>
      </c>
      <c r="F318" t="s">
        <v>21</v>
      </c>
      <c r="G318" t="s">
        <v>22</v>
      </c>
      <c r="H318">
        <v>3</v>
      </c>
      <c r="I318">
        <v>193.33</v>
      </c>
      <c r="J318">
        <v>0.1</v>
      </c>
      <c r="K318">
        <v>579.99</v>
      </c>
      <c r="L318">
        <v>115.03</v>
      </c>
    </row>
    <row r="319" spans="1:12" x14ac:dyDescent="0.3">
      <c r="A319" t="s">
        <v>356</v>
      </c>
      <c r="B319" s="1">
        <v>45951</v>
      </c>
      <c r="C319" t="s">
        <v>13</v>
      </c>
      <c r="D319" t="s">
        <v>19</v>
      </c>
      <c r="E319" t="s">
        <v>26</v>
      </c>
      <c r="F319" t="s">
        <v>16</v>
      </c>
      <c r="G319" t="s">
        <v>17</v>
      </c>
      <c r="H319">
        <v>1</v>
      </c>
      <c r="I319">
        <v>431.46</v>
      </c>
      <c r="J319">
        <v>0</v>
      </c>
      <c r="K319">
        <v>431.46</v>
      </c>
      <c r="L319">
        <v>47.95</v>
      </c>
    </row>
    <row r="320" spans="1:12" x14ac:dyDescent="0.3">
      <c r="A320" t="s">
        <v>357</v>
      </c>
      <c r="B320" s="1">
        <v>45899</v>
      </c>
      <c r="C320" t="s">
        <v>40</v>
      </c>
      <c r="D320" t="s">
        <v>19</v>
      </c>
      <c r="E320" t="s">
        <v>20</v>
      </c>
      <c r="F320" t="s">
        <v>31</v>
      </c>
      <c r="G320" t="s">
        <v>59</v>
      </c>
      <c r="H320">
        <v>7</v>
      </c>
      <c r="I320">
        <v>123.89</v>
      </c>
      <c r="J320">
        <v>0.05</v>
      </c>
      <c r="K320">
        <v>867.23</v>
      </c>
      <c r="L320">
        <v>114.1</v>
      </c>
    </row>
    <row r="321" spans="1:12" x14ac:dyDescent="0.3">
      <c r="A321" t="s">
        <v>358</v>
      </c>
      <c r="B321" s="1">
        <v>45821</v>
      </c>
      <c r="C321" t="s">
        <v>40</v>
      </c>
      <c r="D321" t="s">
        <v>38</v>
      </c>
      <c r="E321" t="s">
        <v>15</v>
      </c>
      <c r="F321" t="s">
        <v>16</v>
      </c>
      <c r="G321" t="s">
        <v>17</v>
      </c>
      <c r="H321">
        <v>1</v>
      </c>
      <c r="I321">
        <v>101.98</v>
      </c>
      <c r="J321">
        <v>0.2</v>
      </c>
      <c r="K321">
        <v>101.98</v>
      </c>
      <c r="L321">
        <v>20.94</v>
      </c>
    </row>
    <row r="322" spans="1:12" x14ac:dyDescent="0.3">
      <c r="A322" t="s">
        <v>359</v>
      </c>
      <c r="B322" s="1">
        <v>45863</v>
      </c>
      <c r="C322" t="s">
        <v>13</v>
      </c>
      <c r="D322" t="s">
        <v>34</v>
      </c>
      <c r="E322" t="s">
        <v>15</v>
      </c>
      <c r="F322" t="s">
        <v>31</v>
      </c>
      <c r="G322" t="s">
        <v>32</v>
      </c>
      <c r="H322">
        <v>2</v>
      </c>
      <c r="I322">
        <v>283.25</v>
      </c>
      <c r="J322">
        <v>0</v>
      </c>
      <c r="K322">
        <v>566.5</v>
      </c>
      <c r="L322">
        <v>80.569999999999993</v>
      </c>
    </row>
    <row r="323" spans="1:12" x14ac:dyDescent="0.3">
      <c r="A323" t="s">
        <v>360</v>
      </c>
      <c r="B323" s="1">
        <v>45807</v>
      </c>
      <c r="C323" t="s">
        <v>40</v>
      </c>
      <c r="D323" t="s">
        <v>46</v>
      </c>
      <c r="E323" t="s">
        <v>20</v>
      </c>
      <c r="F323" t="s">
        <v>21</v>
      </c>
      <c r="G323" t="s">
        <v>27</v>
      </c>
      <c r="H323">
        <v>6</v>
      </c>
      <c r="I323">
        <v>301.97000000000003</v>
      </c>
      <c r="J323">
        <v>0.15</v>
      </c>
      <c r="K323">
        <v>1811.82</v>
      </c>
      <c r="L323">
        <v>420.25</v>
      </c>
    </row>
    <row r="324" spans="1:12" x14ac:dyDescent="0.3">
      <c r="A324" t="s">
        <v>361</v>
      </c>
      <c r="B324" s="1">
        <v>45758</v>
      </c>
      <c r="C324" t="s">
        <v>24</v>
      </c>
      <c r="D324" t="s">
        <v>19</v>
      </c>
      <c r="E324" t="s">
        <v>15</v>
      </c>
      <c r="F324" t="s">
        <v>16</v>
      </c>
      <c r="G324" t="s">
        <v>36</v>
      </c>
      <c r="H324">
        <v>4</v>
      </c>
      <c r="I324">
        <v>277.64999999999998</v>
      </c>
      <c r="J324">
        <v>0</v>
      </c>
      <c r="K324">
        <v>1110.5999999999999</v>
      </c>
      <c r="L324">
        <v>319.57</v>
      </c>
    </row>
    <row r="325" spans="1:12" x14ac:dyDescent="0.3">
      <c r="A325" t="s">
        <v>362</v>
      </c>
      <c r="B325" s="1">
        <v>45658</v>
      </c>
      <c r="C325" t="s">
        <v>43</v>
      </c>
      <c r="D325" t="s">
        <v>38</v>
      </c>
      <c r="E325" t="s">
        <v>15</v>
      </c>
      <c r="F325" t="s">
        <v>21</v>
      </c>
      <c r="G325" t="s">
        <v>27</v>
      </c>
      <c r="H325">
        <v>4</v>
      </c>
      <c r="I325">
        <v>271.95999999999998</v>
      </c>
      <c r="J325">
        <v>0.05</v>
      </c>
      <c r="K325">
        <v>1087.8399999999999</v>
      </c>
      <c r="L325">
        <v>144.09</v>
      </c>
    </row>
    <row r="326" spans="1:12" x14ac:dyDescent="0.3">
      <c r="A326" t="s">
        <v>363</v>
      </c>
      <c r="B326" s="1">
        <v>45688</v>
      </c>
      <c r="C326" t="s">
        <v>24</v>
      </c>
      <c r="D326" t="s">
        <v>19</v>
      </c>
      <c r="E326" t="s">
        <v>20</v>
      </c>
      <c r="F326" t="s">
        <v>21</v>
      </c>
      <c r="G326" t="s">
        <v>22</v>
      </c>
      <c r="H326">
        <v>4</v>
      </c>
      <c r="I326">
        <v>450.18</v>
      </c>
      <c r="J326">
        <v>0.2</v>
      </c>
      <c r="K326">
        <v>1800.72</v>
      </c>
      <c r="L326">
        <v>113.92</v>
      </c>
    </row>
    <row r="327" spans="1:12" x14ac:dyDescent="0.3">
      <c r="A327" t="s">
        <v>364</v>
      </c>
      <c r="B327" s="1">
        <v>45848</v>
      </c>
      <c r="C327" t="s">
        <v>43</v>
      </c>
      <c r="D327" t="s">
        <v>38</v>
      </c>
      <c r="E327" t="s">
        <v>26</v>
      </c>
      <c r="F327" t="s">
        <v>21</v>
      </c>
      <c r="G327" t="s">
        <v>48</v>
      </c>
      <c r="H327">
        <v>3</v>
      </c>
      <c r="I327">
        <v>324.05</v>
      </c>
      <c r="J327">
        <v>0.15</v>
      </c>
      <c r="K327">
        <v>972.15</v>
      </c>
      <c r="L327">
        <v>1.17</v>
      </c>
    </row>
    <row r="328" spans="1:12" x14ac:dyDescent="0.3">
      <c r="A328" t="s">
        <v>365</v>
      </c>
      <c r="B328" s="1">
        <v>45948</v>
      </c>
      <c r="C328" t="s">
        <v>13</v>
      </c>
      <c r="D328" t="s">
        <v>14</v>
      </c>
      <c r="E328" t="s">
        <v>20</v>
      </c>
      <c r="F328" t="s">
        <v>31</v>
      </c>
      <c r="G328" t="s">
        <v>55</v>
      </c>
      <c r="H328">
        <v>5</v>
      </c>
      <c r="I328">
        <v>141.58000000000001</v>
      </c>
      <c r="J328">
        <v>0.1</v>
      </c>
      <c r="K328">
        <v>707.9</v>
      </c>
      <c r="L328">
        <v>167.43</v>
      </c>
    </row>
    <row r="329" spans="1:12" x14ac:dyDescent="0.3">
      <c r="A329" t="s">
        <v>366</v>
      </c>
      <c r="B329" s="1">
        <v>45859</v>
      </c>
      <c r="C329" t="s">
        <v>40</v>
      </c>
      <c r="D329" t="s">
        <v>14</v>
      </c>
      <c r="E329" t="s">
        <v>15</v>
      </c>
      <c r="F329" t="s">
        <v>31</v>
      </c>
      <c r="G329" t="s">
        <v>32</v>
      </c>
      <c r="H329">
        <v>2</v>
      </c>
      <c r="I329">
        <v>472.62</v>
      </c>
      <c r="J329">
        <v>0.05</v>
      </c>
      <c r="K329">
        <v>945.24</v>
      </c>
      <c r="L329">
        <v>210.3</v>
      </c>
    </row>
    <row r="330" spans="1:12" x14ac:dyDescent="0.3">
      <c r="A330" t="s">
        <v>367</v>
      </c>
      <c r="B330" s="1">
        <v>45957</v>
      </c>
      <c r="C330" t="s">
        <v>13</v>
      </c>
      <c r="D330" t="s">
        <v>46</v>
      </c>
      <c r="E330" t="s">
        <v>20</v>
      </c>
      <c r="F330" t="s">
        <v>16</v>
      </c>
      <c r="G330" t="s">
        <v>36</v>
      </c>
      <c r="H330">
        <v>8</v>
      </c>
      <c r="I330">
        <v>167.31</v>
      </c>
      <c r="J330">
        <v>0</v>
      </c>
      <c r="K330">
        <v>1338.48</v>
      </c>
      <c r="L330">
        <v>246.26</v>
      </c>
    </row>
    <row r="331" spans="1:12" x14ac:dyDescent="0.3">
      <c r="A331" t="s">
        <v>368</v>
      </c>
      <c r="B331" s="1">
        <v>45764</v>
      </c>
      <c r="C331" t="s">
        <v>43</v>
      </c>
      <c r="D331" t="s">
        <v>38</v>
      </c>
      <c r="E331" t="s">
        <v>15</v>
      </c>
      <c r="F331" t="s">
        <v>31</v>
      </c>
      <c r="G331" t="s">
        <v>32</v>
      </c>
      <c r="H331">
        <v>2</v>
      </c>
      <c r="I331">
        <v>91.44</v>
      </c>
      <c r="J331">
        <v>0.1</v>
      </c>
      <c r="K331">
        <v>182.88</v>
      </c>
      <c r="L331">
        <v>38.700000000000003</v>
      </c>
    </row>
    <row r="332" spans="1:12" x14ac:dyDescent="0.3">
      <c r="A332" t="s">
        <v>369</v>
      </c>
      <c r="B332" s="1">
        <v>46014</v>
      </c>
      <c r="C332" t="s">
        <v>13</v>
      </c>
      <c r="D332" t="s">
        <v>38</v>
      </c>
      <c r="E332" t="s">
        <v>20</v>
      </c>
      <c r="F332" t="s">
        <v>16</v>
      </c>
      <c r="G332" t="s">
        <v>44</v>
      </c>
      <c r="H332">
        <v>4</v>
      </c>
      <c r="I332">
        <v>484.67</v>
      </c>
      <c r="J332">
        <v>0.15</v>
      </c>
      <c r="K332">
        <v>1938.68</v>
      </c>
      <c r="L332">
        <v>214.93</v>
      </c>
    </row>
    <row r="333" spans="1:12" x14ac:dyDescent="0.3">
      <c r="A333" t="s">
        <v>370</v>
      </c>
      <c r="B333" s="1">
        <v>46004</v>
      </c>
      <c r="C333" t="s">
        <v>40</v>
      </c>
      <c r="D333" t="s">
        <v>25</v>
      </c>
      <c r="E333" t="s">
        <v>20</v>
      </c>
      <c r="F333" t="s">
        <v>31</v>
      </c>
      <c r="G333" t="s">
        <v>59</v>
      </c>
      <c r="H333">
        <v>8</v>
      </c>
      <c r="I333">
        <v>284.64</v>
      </c>
      <c r="J333">
        <v>0.2</v>
      </c>
      <c r="K333">
        <v>2277.12</v>
      </c>
      <c r="L333">
        <v>51.15</v>
      </c>
    </row>
    <row r="334" spans="1:12" x14ac:dyDescent="0.3">
      <c r="A334" t="s">
        <v>371</v>
      </c>
      <c r="B334" s="1">
        <v>45894</v>
      </c>
      <c r="C334" t="s">
        <v>13</v>
      </c>
      <c r="D334" t="s">
        <v>19</v>
      </c>
      <c r="E334" t="s">
        <v>20</v>
      </c>
      <c r="F334" t="s">
        <v>16</v>
      </c>
      <c r="G334" t="s">
        <v>36</v>
      </c>
      <c r="H334">
        <v>4</v>
      </c>
      <c r="I334">
        <v>78.400000000000006</v>
      </c>
      <c r="J334">
        <v>0.15</v>
      </c>
      <c r="K334">
        <v>313.60000000000002</v>
      </c>
      <c r="L334">
        <v>23.7</v>
      </c>
    </row>
    <row r="335" spans="1:12" x14ac:dyDescent="0.3">
      <c r="A335" t="s">
        <v>372</v>
      </c>
      <c r="B335" s="1">
        <v>45980</v>
      </c>
      <c r="C335" t="s">
        <v>13</v>
      </c>
      <c r="D335" t="s">
        <v>38</v>
      </c>
      <c r="E335" t="s">
        <v>15</v>
      </c>
      <c r="F335" t="s">
        <v>21</v>
      </c>
      <c r="G335" t="s">
        <v>27</v>
      </c>
      <c r="H335">
        <v>1</v>
      </c>
      <c r="I335">
        <v>498.62</v>
      </c>
      <c r="J335">
        <v>0.05</v>
      </c>
      <c r="K335">
        <v>498.62</v>
      </c>
      <c r="L335">
        <v>126.21</v>
      </c>
    </row>
    <row r="336" spans="1:12" x14ac:dyDescent="0.3">
      <c r="A336" t="s">
        <v>373</v>
      </c>
      <c r="B336" s="1">
        <v>45885</v>
      </c>
      <c r="C336" t="s">
        <v>24</v>
      </c>
      <c r="D336" t="s">
        <v>19</v>
      </c>
      <c r="E336" t="s">
        <v>20</v>
      </c>
      <c r="F336" t="s">
        <v>16</v>
      </c>
      <c r="G336" t="s">
        <v>44</v>
      </c>
      <c r="H336">
        <v>8</v>
      </c>
      <c r="I336">
        <v>39.56</v>
      </c>
      <c r="J336">
        <v>0.2</v>
      </c>
      <c r="K336">
        <v>316.48</v>
      </c>
      <c r="L336">
        <v>21.61</v>
      </c>
    </row>
    <row r="337" spans="1:12" x14ac:dyDescent="0.3">
      <c r="A337" t="s">
        <v>374</v>
      </c>
      <c r="B337" s="1">
        <v>45860</v>
      </c>
      <c r="C337" t="s">
        <v>43</v>
      </c>
      <c r="D337" t="s">
        <v>25</v>
      </c>
      <c r="E337" t="s">
        <v>26</v>
      </c>
      <c r="F337" t="s">
        <v>16</v>
      </c>
      <c r="G337" t="s">
        <v>44</v>
      </c>
      <c r="H337">
        <v>3</v>
      </c>
      <c r="I337">
        <v>186.66</v>
      </c>
      <c r="J337">
        <v>0.05</v>
      </c>
      <c r="K337">
        <v>559.98</v>
      </c>
      <c r="L337">
        <v>53.9</v>
      </c>
    </row>
    <row r="338" spans="1:12" x14ac:dyDescent="0.3">
      <c r="A338" t="s">
        <v>375</v>
      </c>
      <c r="B338" s="1">
        <v>45886</v>
      </c>
      <c r="C338" t="s">
        <v>24</v>
      </c>
      <c r="D338" t="s">
        <v>14</v>
      </c>
      <c r="E338" t="s">
        <v>26</v>
      </c>
      <c r="F338" t="s">
        <v>16</v>
      </c>
      <c r="G338" t="s">
        <v>17</v>
      </c>
      <c r="H338">
        <v>5</v>
      </c>
      <c r="I338">
        <v>256.95999999999998</v>
      </c>
      <c r="J338">
        <v>0.2</v>
      </c>
      <c r="K338">
        <v>1284.8</v>
      </c>
      <c r="L338">
        <v>102.47</v>
      </c>
    </row>
    <row r="339" spans="1:12" x14ac:dyDescent="0.3">
      <c r="A339" t="s">
        <v>376</v>
      </c>
      <c r="B339" s="1">
        <v>45702</v>
      </c>
      <c r="C339" t="s">
        <v>40</v>
      </c>
      <c r="D339" t="s">
        <v>14</v>
      </c>
      <c r="E339" t="s">
        <v>15</v>
      </c>
      <c r="F339" t="s">
        <v>31</v>
      </c>
      <c r="G339" t="s">
        <v>59</v>
      </c>
      <c r="H339">
        <v>4</v>
      </c>
      <c r="I339">
        <v>320.92</v>
      </c>
      <c r="J339">
        <v>0.2</v>
      </c>
      <c r="K339">
        <v>1283.68</v>
      </c>
      <c r="L339">
        <v>203.73</v>
      </c>
    </row>
    <row r="340" spans="1:12" x14ac:dyDescent="0.3">
      <c r="A340" t="s">
        <v>377</v>
      </c>
      <c r="B340" s="1">
        <v>45853</v>
      </c>
      <c r="C340" t="s">
        <v>40</v>
      </c>
      <c r="D340" t="s">
        <v>34</v>
      </c>
      <c r="E340" t="s">
        <v>15</v>
      </c>
      <c r="F340" t="s">
        <v>31</v>
      </c>
      <c r="G340" t="s">
        <v>55</v>
      </c>
      <c r="H340">
        <v>6</v>
      </c>
      <c r="I340">
        <v>203.36</v>
      </c>
      <c r="J340">
        <v>0.05</v>
      </c>
      <c r="K340">
        <v>1220.1600000000001</v>
      </c>
      <c r="L340">
        <v>41.5</v>
      </c>
    </row>
    <row r="341" spans="1:12" x14ac:dyDescent="0.3">
      <c r="A341" t="s">
        <v>378</v>
      </c>
      <c r="B341" s="1">
        <v>45963</v>
      </c>
      <c r="C341" t="s">
        <v>24</v>
      </c>
      <c r="D341" t="s">
        <v>46</v>
      </c>
      <c r="E341" t="s">
        <v>20</v>
      </c>
      <c r="F341" t="s">
        <v>16</v>
      </c>
      <c r="G341" t="s">
        <v>44</v>
      </c>
      <c r="H341">
        <v>6</v>
      </c>
      <c r="I341">
        <v>386.92</v>
      </c>
      <c r="J341">
        <v>0.05</v>
      </c>
      <c r="K341">
        <v>2321.52</v>
      </c>
      <c r="L341">
        <v>629.12</v>
      </c>
    </row>
    <row r="342" spans="1:12" x14ac:dyDescent="0.3">
      <c r="A342" t="s">
        <v>379</v>
      </c>
      <c r="B342" s="1">
        <v>45709</v>
      </c>
      <c r="C342" t="s">
        <v>24</v>
      </c>
      <c r="D342" t="s">
        <v>19</v>
      </c>
      <c r="E342" t="s">
        <v>15</v>
      </c>
      <c r="F342" t="s">
        <v>21</v>
      </c>
      <c r="G342" t="s">
        <v>48</v>
      </c>
      <c r="H342">
        <v>4</v>
      </c>
      <c r="I342">
        <v>294.20999999999998</v>
      </c>
      <c r="J342">
        <v>0.15</v>
      </c>
      <c r="K342">
        <v>1176.8399999999999</v>
      </c>
      <c r="L342">
        <v>83.79</v>
      </c>
    </row>
    <row r="343" spans="1:12" x14ac:dyDescent="0.3">
      <c r="A343" t="s">
        <v>380</v>
      </c>
      <c r="B343" s="1">
        <v>45746</v>
      </c>
      <c r="C343" t="s">
        <v>24</v>
      </c>
      <c r="D343" t="s">
        <v>34</v>
      </c>
      <c r="E343" t="s">
        <v>15</v>
      </c>
      <c r="F343" t="s">
        <v>16</v>
      </c>
      <c r="G343" t="s">
        <v>17</v>
      </c>
      <c r="H343">
        <v>1</v>
      </c>
      <c r="I343">
        <v>356.17</v>
      </c>
      <c r="J343">
        <v>0.1</v>
      </c>
      <c r="K343">
        <v>356.17</v>
      </c>
      <c r="L343">
        <v>86.15</v>
      </c>
    </row>
    <row r="344" spans="1:12" x14ac:dyDescent="0.3">
      <c r="A344" t="s">
        <v>381</v>
      </c>
      <c r="B344" s="1">
        <v>45946</v>
      </c>
      <c r="C344" t="s">
        <v>24</v>
      </c>
      <c r="D344" t="s">
        <v>29</v>
      </c>
      <c r="E344" t="s">
        <v>15</v>
      </c>
      <c r="F344" t="s">
        <v>21</v>
      </c>
      <c r="G344" t="s">
        <v>48</v>
      </c>
      <c r="H344">
        <v>3</v>
      </c>
      <c r="I344">
        <v>252.86</v>
      </c>
      <c r="J344">
        <v>0</v>
      </c>
      <c r="K344">
        <v>758.58</v>
      </c>
      <c r="L344">
        <v>48.58</v>
      </c>
    </row>
    <row r="345" spans="1:12" x14ac:dyDescent="0.3">
      <c r="A345" t="s">
        <v>382</v>
      </c>
      <c r="B345" s="1">
        <v>45966</v>
      </c>
      <c r="C345" t="s">
        <v>24</v>
      </c>
      <c r="D345" t="s">
        <v>19</v>
      </c>
      <c r="E345" t="s">
        <v>15</v>
      </c>
      <c r="F345" t="s">
        <v>16</v>
      </c>
      <c r="G345" t="s">
        <v>17</v>
      </c>
      <c r="H345">
        <v>6</v>
      </c>
      <c r="I345">
        <v>460.18</v>
      </c>
      <c r="J345">
        <v>0.05</v>
      </c>
      <c r="K345">
        <v>2761.08</v>
      </c>
      <c r="L345">
        <v>632.59</v>
      </c>
    </row>
    <row r="346" spans="1:12" x14ac:dyDescent="0.3">
      <c r="A346" t="s">
        <v>383</v>
      </c>
      <c r="B346" s="1">
        <v>45832</v>
      </c>
      <c r="C346" t="s">
        <v>24</v>
      </c>
      <c r="D346" t="s">
        <v>66</v>
      </c>
      <c r="E346" t="s">
        <v>20</v>
      </c>
      <c r="F346" t="s">
        <v>31</v>
      </c>
      <c r="G346" t="s">
        <v>59</v>
      </c>
      <c r="H346">
        <v>3</v>
      </c>
      <c r="I346">
        <v>390.57</v>
      </c>
      <c r="J346">
        <v>0.2</v>
      </c>
      <c r="K346">
        <v>1171.71</v>
      </c>
      <c r="L346">
        <v>205.25</v>
      </c>
    </row>
    <row r="347" spans="1:12" x14ac:dyDescent="0.3">
      <c r="A347" t="s">
        <v>384</v>
      </c>
      <c r="B347" s="1">
        <v>45695</v>
      </c>
      <c r="C347" t="s">
        <v>40</v>
      </c>
      <c r="D347" t="s">
        <v>38</v>
      </c>
      <c r="E347" t="s">
        <v>15</v>
      </c>
      <c r="F347" t="s">
        <v>21</v>
      </c>
      <c r="G347" t="s">
        <v>27</v>
      </c>
      <c r="H347">
        <v>6</v>
      </c>
      <c r="I347">
        <v>161.36000000000001</v>
      </c>
      <c r="J347">
        <v>0.05</v>
      </c>
      <c r="K347">
        <v>968.16</v>
      </c>
      <c r="L347">
        <v>262.82</v>
      </c>
    </row>
    <row r="348" spans="1:12" x14ac:dyDescent="0.3">
      <c r="A348" t="s">
        <v>385</v>
      </c>
      <c r="B348" s="1">
        <v>45881</v>
      </c>
      <c r="C348" t="s">
        <v>43</v>
      </c>
      <c r="D348" t="s">
        <v>34</v>
      </c>
      <c r="E348" t="s">
        <v>20</v>
      </c>
      <c r="F348" t="s">
        <v>21</v>
      </c>
      <c r="G348" t="s">
        <v>22</v>
      </c>
      <c r="H348">
        <v>4</v>
      </c>
      <c r="I348">
        <v>337.78</v>
      </c>
      <c r="J348">
        <v>0.05</v>
      </c>
      <c r="K348">
        <v>1351.12</v>
      </c>
      <c r="L348">
        <v>164.97</v>
      </c>
    </row>
    <row r="349" spans="1:12" x14ac:dyDescent="0.3">
      <c r="A349" t="s">
        <v>386</v>
      </c>
      <c r="B349" s="1">
        <v>46010</v>
      </c>
      <c r="C349" t="s">
        <v>40</v>
      </c>
      <c r="D349" t="s">
        <v>19</v>
      </c>
      <c r="E349" t="s">
        <v>26</v>
      </c>
      <c r="F349" t="s">
        <v>16</v>
      </c>
      <c r="G349" t="s">
        <v>36</v>
      </c>
      <c r="H349">
        <v>7</v>
      </c>
      <c r="I349">
        <v>427.62</v>
      </c>
      <c r="J349">
        <v>0.2</v>
      </c>
      <c r="K349">
        <v>2993.34</v>
      </c>
      <c r="L349">
        <v>-95.5</v>
      </c>
    </row>
    <row r="350" spans="1:12" x14ac:dyDescent="0.3">
      <c r="A350" t="s">
        <v>387</v>
      </c>
      <c r="B350" s="1">
        <v>45966</v>
      </c>
      <c r="C350" t="s">
        <v>40</v>
      </c>
      <c r="D350" t="s">
        <v>38</v>
      </c>
      <c r="E350" t="s">
        <v>26</v>
      </c>
      <c r="F350" t="s">
        <v>21</v>
      </c>
      <c r="G350" t="s">
        <v>48</v>
      </c>
      <c r="H350">
        <v>8</v>
      </c>
      <c r="I350">
        <v>83.21</v>
      </c>
      <c r="J350">
        <v>0</v>
      </c>
      <c r="K350">
        <v>665.68</v>
      </c>
      <c r="L350">
        <v>72.89</v>
      </c>
    </row>
    <row r="351" spans="1:12" x14ac:dyDescent="0.3">
      <c r="A351" t="s">
        <v>388</v>
      </c>
      <c r="B351" s="1">
        <v>45821</v>
      </c>
      <c r="C351" t="s">
        <v>24</v>
      </c>
      <c r="D351" t="s">
        <v>34</v>
      </c>
      <c r="E351" t="s">
        <v>26</v>
      </c>
      <c r="F351" t="s">
        <v>21</v>
      </c>
      <c r="G351" t="s">
        <v>48</v>
      </c>
      <c r="H351">
        <v>8</v>
      </c>
      <c r="I351">
        <v>20.53</v>
      </c>
      <c r="J351">
        <v>0.05</v>
      </c>
      <c r="K351">
        <v>164.24</v>
      </c>
      <c r="L351">
        <v>14.76</v>
      </c>
    </row>
    <row r="352" spans="1:12" x14ac:dyDescent="0.3">
      <c r="A352" t="s">
        <v>389</v>
      </c>
      <c r="B352" s="1">
        <v>45692</v>
      </c>
      <c r="C352" t="s">
        <v>40</v>
      </c>
      <c r="D352" t="s">
        <v>19</v>
      </c>
      <c r="E352" t="s">
        <v>26</v>
      </c>
      <c r="F352" t="s">
        <v>31</v>
      </c>
      <c r="G352" t="s">
        <v>59</v>
      </c>
      <c r="H352">
        <v>1</v>
      </c>
      <c r="I352">
        <v>202.18</v>
      </c>
      <c r="J352">
        <v>0.15</v>
      </c>
      <c r="K352">
        <v>202.18</v>
      </c>
      <c r="L352">
        <v>45.45</v>
      </c>
    </row>
    <row r="353" spans="1:12" x14ac:dyDescent="0.3">
      <c r="A353" t="s">
        <v>390</v>
      </c>
      <c r="B353" s="1">
        <v>45869</v>
      </c>
      <c r="C353" t="s">
        <v>43</v>
      </c>
      <c r="D353" t="s">
        <v>25</v>
      </c>
      <c r="E353" t="s">
        <v>26</v>
      </c>
      <c r="F353" t="s">
        <v>31</v>
      </c>
      <c r="G353" t="s">
        <v>32</v>
      </c>
      <c r="H353">
        <v>2</v>
      </c>
      <c r="I353">
        <v>416.97</v>
      </c>
      <c r="J353">
        <v>0.2</v>
      </c>
      <c r="K353">
        <v>833.94</v>
      </c>
      <c r="L353">
        <v>102.36</v>
      </c>
    </row>
    <row r="354" spans="1:12" x14ac:dyDescent="0.3">
      <c r="A354" t="s">
        <v>391</v>
      </c>
      <c r="B354" s="1">
        <v>46009</v>
      </c>
      <c r="C354" t="s">
        <v>24</v>
      </c>
      <c r="D354" t="s">
        <v>19</v>
      </c>
      <c r="E354" t="s">
        <v>20</v>
      </c>
      <c r="F354" t="s">
        <v>16</v>
      </c>
      <c r="G354" t="s">
        <v>44</v>
      </c>
      <c r="H354">
        <v>5</v>
      </c>
      <c r="I354">
        <v>24.74</v>
      </c>
      <c r="J354">
        <v>0.1</v>
      </c>
      <c r="K354">
        <v>123.7</v>
      </c>
      <c r="L354">
        <v>30.05</v>
      </c>
    </row>
    <row r="355" spans="1:12" x14ac:dyDescent="0.3">
      <c r="A355" t="s">
        <v>392</v>
      </c>
      <c r="B355" s="1">
        <v>45695</v>
      </c>
      <c r="C355" t="s">
        <v>40</v>
      </c>
      <c r="D355" t="s">
        <v>38</v>
      </c>
      <c r="E355" t="s">
        <v>20</v>
      </c>
      <c r="F355" t="s">
        <v>16</v>
      </c>
      <c r="G355" t="s">
        <v>44</v>
      </c>
      <c r="H355">
        <v>2</v>
      </c>
      <c r="I355">
        <v>178.91</v>
      </c>
      <c r="J355">
        <v>0.2</v>
      </c>
      <c r="K355">
        <v>357.82</v>
      </c>
      <c r="L355">
        <v>65.59</v>
      </c>
    </row>
    <row r="356" spans="1:12" x14ac:dyDescent="0.3">
      <c r="A356" t="s">
        <v>393</v>
      </c>
      <c r="B356" s="1">
        <v>46018</v>
      </c>
      <c r="C356" t="s">
        <v>13</v>
      </c>
      <c r="D356" t="s">
        <v>25</v>
      </c>
      <c r="E356" t="s">
        <v>20</v>
      </c>
      <c r="F356" t="s">
        <v>31</v>
      </c>
      <c r="G356" t="s">
        <v>55</v>
      </c>
      <c r="H356">
        <v>3</v>
      </c>
      <c r="I356">
        <v>40.97</v>
      </c>
      <c r="J356">
        <v>0.1</v>
      </c>
      <c r="K356">
        <v>122.91</v>
      </c>
      <c r="L356">
        <v>6.93</v>
      </c>
    </row>
    <row r="357" spans="1:12" x14ac:dyDescent="0.3">
      <c r="A357" t="s">
        <v>394</v>
      </c>
      <c r="B357" s="1">
        <v>45755</v>
      </c>
      <c r="C357" t="s">
        <v>43</v>
      </c>
      <c r="D357" t="s">
        <v>29</v>
      </c>
      <c r="E357" t="s">
        <v>26</v>
      </c>
      <c r="F357" t="s">
        <v>21</v>
      </c>
      <c r="G357" t="s">
        <v>27</v>
      </c>
      <c r="H357">
        <v>5</v>
      </c>
      <c r="I357">
        <v>159.24</v>
      </c>
      <c r="J357">
        <v>0</v>
      </c>
      <c r="K357">
        <v>796.2</v>
      </c>
      <c r="L357">
        <v>49.69</v>
      </c>
    </row>
    <row r="358" spans="1:12" x14ac:dyDescent="0.3">
      <c r="A358" t="s">
        <v>395</v>
      </c>
      <c r="B358" s="1">
        <v>45950</v>
      </c>
      <c r="C358" t="s">
        <v>43</v>
      </c>
      <c r="D358" t="s">
        <v>19</v>
      </c>
      <c r="E358" t="s">
        <v>15</v>
      </c>
      <c r="F358" t="s">
        <v>16</v>
      </c>
      <c r="G358" t="s">
        <v>36</v>
      </c>
      <c r="H358">
        <v>7</v>
      </c>
      <c r="I358">
        <v>57.5</v>
      </c>
      <c r="J358">
        <v>0.2</v>
      </c>
      <c r="K358">
        <v>402.5</v>
      </c>
      <c r="L358">
        <v>32.229999999999997</v>
      </c>
    </row>
    <row r="359" spans="1:12" x14ac:dyDescent="0.3">
      <c r="A359" t="s">
        <v>396</v>
      </c>
      <c r="B359" s="1">
        <v>45707</v>
      </c>
      <c r="C359" t="s">
        <v>13</v>
      </c>
      <c r="D359" t="s">
        <v>29</v>
      </c>
      <c r="E359" t="s">
        <v>26</v>
      </c>
      <c r="F359" t="s">
        <v>16</v>
      </c>
      <c r="G359" t="s">
        <v>36</v>
      </c>
      <c r="H359">
        <v>2</v>
      </c>
      <c r="I359">
        <v>244.68</v>
      </c>
      <c r="J359">
        <v>0</v>
      </c>
      <c r="K359">
        <v>489.36</v>
      </c>
      <c r="L359">
        <v>62.19</v>
      </c>
    </row>
    <row r="360" spans="1:12" x14ac:dyDescent="0.3">
      <c r="A360" t="s">
        <v>397</v>
      </c>
      <c r="B360" s="1">
        <v>45861</v>
      </c>
      <c r="C360" t="s">
        <v>43</v>
      </c>
      <c r="D360" t="s">
        <v>38</v>
      </c>
      <c r="E360" t="s">
        <v>15</v>
      </c>
      <c r="F360" t="s">
        <v>31</v>
      </c>
      <c r="G360" t="s">
        <v>55</v>
      </c>
      <c r="H360">
        <v>7</v>
      </c>
      <c r="I360">
        <v>104.67</v>
      </c>
      <c r="J360">
        <v>0.15</v>
      </c>
      <c r="K360">
        <v>732.69</v>
      </c>
      <c r="L360">
        <v>54.84</v>
      </c>
    </row>
    <row r="361" spans="1:12" x14ac:dyDescent="0.3">
      <c r="A361" t="s">
        <v>398</v>
      </c>
      <c r="B361" s="1">
        <v>45886</v>
      </c>
      <c r="C361" t="s">
        <v>13</v>
      </c>
      <c r="D361" t="s">
        <v>29</v>
      </c>
      <c r="E361" t="s">
        <v>15</v>
      </c>
      <c r="F361" t="s">
        <v>31</v>
      </c>
      <c r="G361" t="s">
        <v>32</v>
      </c>
      <c r="H361">
        <v>4</v>
      </c>
      <c r="I361">
        <v>420.98</v>
      </c>
      <c r="J361">
        <v>0.2</v>
      </c>
      <c r="K361">
        <v>1683.92</v>
      </c>
      <c r="L361">
        <v>-41.41</v>
      </c>
    </row>
    <row r="362" spans="1:12" x14ac:dyDescent="0.3">
      <c r="A362" t="s">
        <v>399</v>
      </c>
      <c r="B362" s="1">
        <v>46014</v>
      </c>
      <c r="C362" t="s">
        <v>13</v>
      </c>
      <c r="D362" t="s">
        <v>25</v>
      </c>
      <c r="E362" t="s">
        <v>15</v>
      </c>
      <c r="F362" t="s">
        <v>16</v>
      </c>
      <c r="G362" t="s">
        <v>17</v>
      </c>
      <c r="H362">
        <v>4</v>
      </c>
      <c r="I362">
        <v>283.5</v>
      </c>
      <c r="J362">
        <v>0.15</v>
      </c>
      <c r="K362">
        <v>1134</v>
      </c>
      <c r="L362">
        <v>212.17</v>
      </c>
    </row>
    <row r="363" spans="1:12" x14ac:dyDescent="0.3">
      <c r="A363" t="s">
        <v>400</v>
      </c>
      <c r="B363" s="1">
        <v>45872</v>
      </c>
      <c r="C363" t="s">
        <v>43</v>
      </c>
      <c r="D363" t="s">
        <v>29</v>
      </c>
      <c r="E363" t="s">
        <v>15</v>
      </c>
      <c r="F363" t="s">
        <v>21</v>
      </c>
      <c r="G363" t="s">
        <v>48</v>
      </c>
      <c r="H363">
        <v>2</v>
      </c>
      <c r="I363">
        <v>206.48</v>
      </c>
      <c r="J363">
        <v>0</v>
      </c>
      <c r="K363">
        <v>412.96</v>
      </c>
      <c r="L363">
        <v>72.48</v>
      </c>
    </row>
    <row r="364" spans="1:12" x14ac:dyDescent="0.3">
      <c r="A364" t="s">
        <v>401</v>
      </c>
      <c r="B364" s="1">
        <v>45922</v>
      </c>
      <c r="C364" t="s">
        <v>24</v>
      </c>
      <c r="D364" t="s">
        <v>66</v>
      </c>
      <c r="E364" t="s">
        <v>20</v>
      </c>
      <c r="F364" t="s">
        <v>16</v>
      </c>
      <c r="G364" t="s">
        <v>44</v>
      </c>
      <c r="H364">
        <v>4</v>
      </c>
      <c r="I364">
        <v>407.1</v>
      </c>
      <c r="J364">
        <v>0.05</v>
      </c>
      <c r="K364">
        <v>1628.4</v>
      </c>
      <c r="L364">
        <v>62.15</v>
      </c>
    </row>
    <row r="365" spans="1:12" x14ac:dyDescent="0.3">
      <c r="A365" t="s">
        <v>402</v>
      </c>
      <c r="B365" s="1">
        <v>45698</v>
      </c>
      <c r="C365" t="s">
        <v>43</v>
      </c>
      <c r="D365" t="s">
        <v>29</v>
      </c>
      <c r="E365" t="s">
        <v>20</v>
      </c>
      <c r="F365" t="s">
        <v>16</v>
      </c>
      <c r="G365" t="s">
        <v>17</v>
      </c>
      <c r="H365">
        <v>6</v>
      </c>
      <c r="I365">
        <v>456.74</v>
      </c>
      <c r="J365">
        <v>0</v>
      </c>
      <c r="K365">
        <v>2740.44</v>
      </c>
      <c r="L365">
        <v>196.65</v>
      </c>
    </row>
    <row r="366" spans="1:12" x14ac:dyDescent="0.3">
      <c r="A366" t="s">
        <v>403</v>
      </c>
      <c r="B366" s="1">
        <v>45942</v>
      </c>
      <c r="C366" t="s">
        <v>43</v>
      </c>
      <c r="D366" t="s">
        <v>46</v>
      </c>
      <c r="E366" t="s">
        <v>15</v>
      </c>
      <c r="F366" t="s">
        <v>21</v>
      </c>
      <c r="G366" t="s">
        <v>22</v>
      </c>
      <c r="H366">
        <v>1</v>
      </c>
      <c r="I366">
        <v>396.48</v>
      </c>
      <c r="J366">
        <v>0.2</v>
      </c>
      <c r="K366">
        <v>396.48</v>
      </c>
      <c r="L366">
        <v>42.38</v>
      </c>
    </row>
    <row r="367" spans="1:12" x14ac:dyDescent="0.3">
      <c r="A367" t="s">
        <v>404</v>
      </c>
      <c r="B367" s="1">
        <v>45872</v>
      </c>
      <c r="C367" t="s">
        <v>13</v>
      </c>
      <c r="D367" t="s">
        <v>38</v>
      </c>
      <c r="E367" t="s">
        <v>20</v>
      </c>
      <c r="F367" t="s">
        <v>31</v>
      </c>
      <c r="G367" t="s">
        <v>59</v>
      </c>
      <c r="H367">
        <v>2</v>
      </c>
      <c r="I367">
        <v>287.89999999999998</v>
      </c>
      <c r="J367">
        <v>0</v>
      </c>
      <c r="K367">
        <v>575.79999999999995</v>
      </c>
      <c r="L367">
        <v>141.9</v>
      </c>
    </row>
    <row r="368" spans="1:12" x14ac:dyDescent="0.3">
      <c r="A368" t="s">
        <v>405</v>
      </c>
      <c r="B368" s="1">
        <v>45932</v>
      </c>
      <c r="C368" t="s">
        <v>40</v>
      </c>
      <c r="D368" t="s">
        <v>46</v>
      </c>
      <c r="E368" t="s">
        <v>15</v>
      </c>
      <c r="F368" t="s">
        <v>31</v>
      </c>
      <c r="G368" t="s">
        <v>32</v>
      </c>
      <c r="H368">
        <v>8</v>
      </c>
      <c r="I368">
        <v>33.17</v>
      </c>
      <c r="J368">
        <v>0.1</v>
      </c>
      <c r="K368">
        <v>265.36</v>
      </c>
      <c r="L368">
        <v>28.06</v>
      </c>
    </row>
    <row r="369" spans="1:12" x14ac:dyDescent="0.3">
      <c r="A369" t="s">
        <v>406</v>
      </c>
      <c r="B369" s="1">
        <v>45974</v>
      </c>
      <c r="C369" t="s">
        <v>43</v>
      </c>
      <c r="D369" t="s">
        <v>14</v>
      </c>
      <c r="E369" t="s">
        <v>15</v>
      </c>
      <c r="F369" t="s">
        <v>16</v>
      </c>
      <c r="G369" t="s">
        <v>44</v>
      </c>
      <c r="H369">
        <v>1</v>
      </c>
      <c r="I369">
        <v>376.69</v>
      </c>
      <c r="J369">
        <v>0.1</v>
      </c>
      <c r="K369">
        <v>376.69</v>
      </c>
      <c r="L369">
        <v>86.36</v>
      </c>
    </row>
    <row r="370" spans="1:12" x14ac:dyDescent="0.3">
      <c r="A370" t="s">
        <v>407</v>
      </c>
      <c r="B370" s="1">
        <v>45668</v>
      </c>
      <c r="C370" t="s">
        <v>40</v>
      </c>
      <c r="D370" t="s">
        <v>46</v>
      </c>
      <c r="E370" t="s">
        <v>15</v>
      </c>
      <c r="F370" t="s">
        <v>31</v>
      </c>
      <c r="G370" t="s">
        <v>32</v>
      </c>
      <c r="H370">
        <v>2</v>
      </c>
      <c r="I370">
        <v>486.66</v>
      </c>
      <c r="J370">
        <v>0.05</v>
      </c>
      <c r="K370">
        <v>973.32</v>
      </c>
      <c r="L370">
        <v>59.47</v>
      </c>
    </row>
    <row r="371" spans="1:12" x14ac:dyDescent="0.3">
      <c r="A371" t="s">
        <v>408</v>
      </c>
      <c r="B371" s="1">
        <v>45884</v>
      </c>
      <c r="C371" t="s">
        <v>40</v>
      </c>
      <c r="D371" t="s">
        <v>38</v>
      </c>
      <c r="E371" t="s">
        <v>15</v>
      </c>
      <c r="F371" t="s">
        <v>31</v>
      </c>
      <c r="G371" t="s">
        <v>55</v>
      </c>
      <c r="H371">
        <v>4</v>
      </c>
      <c r="I371">
        <v>229.23</v>
      </c>
      <c r="J371">
        <v>0.15</v>
      </c>
      <c r="K371">
        <v>916.92</v>
      </c>
      <c r="L371">
        <v>153.80000000000001</v>
      </c>
    </row>
    <row r="372" spans="1:12" x14ac:dyDescent="0.3">
      <c r="A372" t="s">
        <v>409</v>
      </c>
      <c r="B372" s="1">
        <v>45922</v>
      </c>
      <c r="C372" t="s">
        <v>40</v>
      </c>
      <c r="D372" t="s">
        <v>38</v>
      </c>
      <c r="E372" t="s">
        <v>20</v>
      </c>
      <c r="F372" t="s">
        <v>16</v>
      </c>
      <c r="G372" t="s">
        <v>17</v>
      </c>
      <c r="H372">
        <v>5</v>
      </c>
      <c r="I372">
        <v>359.14</v>
      </c>
      <c r="J372">
        <v>0.15</v>
      </c>
      <c r="K372">
        <v>1795.7</v>
      </c>
      <c r="L372">
        <v>29.47</v>
      </c>
    </row>
    <row r="373" spans="1:12" x14ac:dyDescent="0.3">
      <c r="A373" t="s">
        <v>410</v>
      </c>
      <c r="B373" s="1">
        <v>45926</v>
      </c>
      <c r="C373" t="s">
        <v>13</v>
      </c>
      <c r="D373" t="s">
        <v>19</v>
      </c>
      <c r="E373" t="s">
        <v>20</v>
      </c>
      <c r="F373" t="s">
        <v>16</v>
      </c>
      <c r="G373" t="s">
        <v>36</v>
      </c>
      <c r="H373">
        <v>4</v>
      </c>
      <c r="I373">
        <v>31.04</v>
      </c>
      <c r="J373">
        <v>0</v>
      </c>
      <c r="K373">
        <v>124.16</v>
      </c>
      <c r="L373">
        <v>34.700000000000003</v>
      </c>
    </row>
    <row r="374" spans="1:12" x14ac:dyDescent="0.3">
      <c r="A374" t="s">
        <v>411</v>
      </c>
      <c r="B374" s="1">
        <v>46018</v>
      </c>
      <c r="C374" t="s">
        <v>24</v>
      </c>
      <c r="D374" t="s">
        <v>25</v>
      </c>
      <c r="E374" t="s">
        <v>15</v>
      </c>
      <c r="F374" t="s">
        <v>31</v>
      </c>
      <c r="G374" t="s">
        <v>32</v>
      </c>
      <c r="H374">
        <v>2</v>
      </c>
      <c r="I374">
        <v>345.37</v>
      </c>
      <c r="J374">
        <v>0.05</v>
      </c>
      <c r="K374">
        <v>690.74</v>
      </c>
      <c r="L374">
        <v>83.31</v>
      </c>
    </row>
    <row r="375" spans="1:12" x14ac:dyDescent="0.3">
      <c r="A375" t="s">
        <v>412</v>
      </c>
      <c r="B375" s="1">
        <v>45962</v>
      </c>
      <c r="C375" t="s">
        <v>43</v>
      </c>
      <c r="D375" t="s">
        <v>34</v>
      </c>
      <c r="E375" t="s">
        <v>26</v>
      </c>
      <c r="F375" t="s">
        <v>16</v>
      </c>
      <c r="G375" t="s">
        <v>44</v>
      </c>
      <c r="H375">
        <v>6</v>
      </c>
      <c r="I375">
        <v>94.3</v>
      </c>
      <c r="J375">
        <v>0.1</v>
      </c>
      <c r="K375">
        <v>565.79999999999995</v>
      </c>
      <c r="L375">
        <v>108.77</v>
      </c>
    </row>
    <row r="376" spans="1:12" x14ac:dyDescent="0.3">
      <c r="A376" t="s">
        <v>413</v>
      </c>
      <c r="B376" s="1">
        <v>46010</v>
      </c>
      <c r="C376" t="s">
        <v>13</v>
      </c>
      <c r="D376" t="s">
        <v>19</v>
      </c>
      <c r="E376" t="s">
        <v>15</v>
      </c>
      <c r="F376" t="s">
        <v>31</v>
      </c>
      <c r="G376" t="s">
        <v>59</v>
      </c>
      <c r="H376">
        <v>3</v>
      </c>
      <c r="I376">
        <v>429.1</v>
      </c>
      <c r="J376">
        <v>0.05</v>
      </c>
      <c r="K376">
        <v>1287.3</v>
      </c>
      <c r="L376">
        <v>311.24</v>
      </c>
    </row>
    <row r="377" spans="1:12" x14ac:dyDescent="0.3">
      <c r="A377" t="s">
        <v>414</v>
      </c>
      <c r="B377" s="1">
        <v>45989</v>
      </c>
      <c r="C377" t="s">
        <v>24</v>
      </c>
      <c r="D377" t="s">
        <v>25</v>
      </c>
      <c r="E377" t="s">
        <v>15</v>
      </c>
      <c r="F377" t="s">
        <v>21</v>
      </c>
      <c r="G377" t="s">
        <v>48</v>
      </c>
      <c r="H377">
        <v>1</v>
      </c>
      <c r="I377">
        <v>434.35</v>
      </c>
      <c r="J377">
        <v>0</v>
      </c>
      <c r="K377">
        <v>434.35</v>
      </c>
      <c r="L377">
        <v>73.2</v>
      </c>
    </row>
    <row r="378" spans="1:12" x14ac:dyDescent="0.3">
      <c r="A378" t="s">
        <v>415</v>
      </c>
      <c r="B378" s="1">
        <v>45725</v>
      </c>
      <c r="C378" t="s">
        <v>24</v>
      </c>
      <c r="D378" t="s">
        <v>29</v>
      </c>
      <c r="E378" t="s">
        <v>20</v>
      </c>
      <c r="F378" t="s">
        <v>21</v>
      </c>
      <c r="G378" t="s">
        <v>48</v>
      </c>
      <c r="H378">
        <v>5</v>
      </c>
      <c r="I378">
        <v>360.68</v>
      </c>
      <c r="J378">
        <v>0.1</v>
      </c>
      <c r="K378">
        <v>1803.4</v>
      </c>
      <c r="L378">
        <v>200.09</v>
      </c>
    </row>
    <row r="379" spans="1:12" x14ac:dyDescent="0.3">
      <c r="A379" t="s">
        <v>416</v>
      </c>
      <c r="B379" s="1">
        <v>45850</v>
      </c>
      <c r="C379" t="s">
        <v>40</v>
      </c>
      <c r="D379" t="s">
        <v>46</v>
      </c>
      <c r="E379" t="s">
        <v>20</v>
      </c>
      <c r="F379" t="s">
        <v>31</v>
      </c>
      <c r="G379" t="s">
        <v>32</v>
      </c>
      <c r="H379">
        <v>5</v>
      </c>
      <c r="I379">
        <v>343.44</v>
      </c>
      <c r="J379">
        <v>0.2</v>
      </c>
      <c r="K379">
        <v>1717.2</v>
      </c>
      <c r="L379">
        <v>101.81</v>
      </c>
    </row>
    <row r="380" spans="1:12" x14ac:dyDescent="0.3">
      <c r="A380" t="s">
        <v>417</v>
      </c>
      <c r="B380" s="1">
        <v>45710</v>
      </c>
      <c r="C380" t="s">
        <v>13</v>
      </c>
      <c r="D380" t="s">
        <v>29</v>
      </c>
      <c r="E380" t="s">
        <v>15</v>
      </c>
      <c r="F380" t="s">
        <v>21</v>
      </c>
      <c r="G380" t="s">
        <v>27</v>
      </c>
      <c r="H380">
        <v>5</v>
      </c>
      <c r="I380">
        <v>346.94</v>
      </c>
      <c r="J380">
        <v>0.15</v>
      </c>
      <c r="K380">
        <v>1734.7</v>
      </c>
      <c r="L380">
        <v>-2.67</v>
      </c>
    </row>
    <row r="381" spans="1:12" x14ac:dyDescent="0.3">
      <c r="A381" t="s">
        <v>418</v>
      </c>
      <c r="B381" s="1">
        <v>45799</v>
      </c>
      <c r="C381" t="s">
        <v>40</v>
      </c>
      <c r="D381" t="s">
        <v>29</v>
      </c>
      <c r="E381" t="s">
        <v>26</v>
      </c>
      <c r="F381" t="s">
        <v>31</v>
      </c>
      <c r="G381" t="s">
        <v>32</v>
      </c>
      <c r="H381">
        <v>4</v>
      </c>
      <c r="I381">
        <v>87.72</v>
      </c>
      <c r="J381">
        <v>0.05</v>
      </c>
      <c r="K381">
        <v>350.88</v>
      </c>
      <c r="L381">
        <v>88.57</v>
      </c>
    </row>
    <row r="382" spans="1:12" x14ac:dyDescent="0.3">
      <c r="A382" t="s">
        <v>419</v>
      </c>
      <c r="B382" s="1">
        <v>45965</v>
      </c>
      <c r="C382" t="s">
        <v>43</v>
      </c>
      <c r="D382" t="s">
        <v>66</v>
      </c>
      <c r="E382" t="s">
        <v>26</v>
      </c>
      <c r="F382" t="s">
        <v>21</v>
      </c>
      <c r="G382" t="s">
        <v>22</v>
      </c>
      <c r="H382">
        <v>1</v>
      </c>
      <c r="I382">
        <v>332.87</v>
      </c>
      <c r="J382">
        <v>0.1</v>
      </c>
      <c r="K382">
        <v>332.87</v>
      </c>
      <c r="L382">
        <v>23.25</v>
      </c>
    </row>
    <row r="383" spans="1:12" x14ac:dyDescent="0.3">
      <c r="A383" t="s">
        <v>420</v>
      </c>
      <c r="B383" s="1">
        <v>45872</v>
      </c>
      <c r="C383" t="s">
        <v>43</v>
      </c>
      <c r="D383" t="s">
        <v>14</v>
      </c>
      <c r="E383" t="s">
        <v>20</v>
      </c>
      <c r="F383" t="s">
        <v>31</v>
      </c>
      <c r="G383" t="s">
        <v>55</v>
      </c>
      <c r="H383">
        <v>6</v>
      </c>
      <c r="I383">
        <v>367.38</v>
      </c>
      <c r="J383">
        <v>0.05</v>
      </c>
      <c r="K383">
        <v>2204.2800000000002</v>
      </c>
      <c r="L383">
        <v>438.83</v>
      </c>
    </row>
    <row r="384" spans="1:12" x14ac:dyDescent="0.3">
      <c r="A384" t="s">
        <v>421</v>
      </c>
      <c r="B384" s="1">
        <v>45984</v>
      </c>
      <c r="C384" t="s">
        <v>43</v>
      </c>
      <c r="D384" t="s">
        <v>29</v>
      </c>
      <c r="E384" t="s">
        <v>26</v>
      </c>
      <c r="F384" t="s">
        <v>21</v>
      </c>
      <c r="G384" t="s">
        <v>22</v>
      </c>
      <c r="H384">
        <v>3</v>
      </c>
      <c r="I384">
        <v>422.71</v>
      </c>
      <c r="J384">
        <v>0.2</v>
      </c>
      <c r="K384">
        <v>1268.1300000000001</v>
      </c>
      <c r="L384">
        <v>6.7</v>
      </c>
    </row>
    <row r="385" spans="1:12" x14ac:dyDescent="0.3">
      <c r="A385" t="s">
        <v>422</v>
      </c>
      <c r="B385" s="1">
        <v>45707</v>
      </c>
      <c r="C385" t="s">
        <v>43</v>
      </c>
      <c r="D385" t="s">
        <v>66</v>
      </c>
      <c r="E385" t="s">
        <v>15</v>
      </c>
      <c r="F385" t="s">
        <v>16</v>
      </c>
      <c r="G385" t="s">
        <v>17</v>
      </c>
      <c r="H385">
        <v>6</v>
      </c>
      <c r="I385">
        <v>332.4</v>
      </c>
      <c r="J385">
        <v>0.05</v>
      </c>
      <c r="K385">
        <v>1994.4</v>
      </c>
      <c r="L385">
        <v>231.99</v>
      </c>
    </row>
    <row r="386" spans="1:12" x14ac:dyDescent="0.3">
      <c r="A386" t="s">
        <v>423</v>
      </c>
      <c r="B386" s="1">
        <v>45815</v>
      </c>
      <c r="C386" t="s">
        <v>43</v>
      </c>
      <c r="D386" t="s">
        <v>29</v>
      </c>
      <c r="E386" t="s">
        <v>15</v>
      </c>
      <c r="F386" t="s">
        <v>31</v>
      </c>
      <c r="G386" t="s">
        <v>32</v>
      </c>
      <c r="H386">
        <v>8</v>
      </c>
      <c r="I386">
        <v>427.84</v>
      </c>
      <c r="J386">
        <v>0.15</v>
      </c>
      <c r="K386">
        <v>3422.72</v>
      </c>
      <c r="L386">
        <v>-13.97</v>
      </c>
    </row>
    <row r="387" spans="1:12" x14ac:dyDescent="0.3">
      <c r="A387" t="s">
        <v>424</v>
      </c>
      <c r="B387" s="1">
        <v>45982</v>
      </c>
      <c r="C387" t="s">
        <v>13</v>
      </c>
      <c r="D387" t="s">
        <v>38</v>
      </c>
      <c r="E387" t="s">
        <v>26</v>
      </c>
      <c r="F387" t="s">
        <v>31</v>
      </c>
      <c r="G387" t="s">
        <v>59</v>
      </c>
      <c r="H387">
        <v>7</v>
      </c>
      <c r="I387">
        <v>271.97000000000003</v>
      </c>
      <c r="J387">
        <v>0.15</v>
      </c>
      <c r="K387">
        <v>1903.79</v>
      </c>
      <c r="L387">
        <v>-7.59</v>
      </c>
    </row>
    <row r="388" spans="1:12" x14ac:dyDescent="0.3">
      <c r="A388" t="s">
        <v>425</v>
      </c>
      <c r="B388" s="1">
        <v>45735</v>
      </c>
      <c r="C388" t="s">
        <v>24</v>
      </c>
      <c r="D388" t="s">
        <v>46</v>
      </c>
      <c r="E388" t="s">
        <v>15</v>
      </c>
      <c r="F388" t="s">
        <v>16</v>
      </c>
      <c r="G388" t="s">
        <v>44</v>
      </c>
      <c r="H388">
        <v>3</v>
      </c>
      <c r="I388">
        <v>168.45</v>
      </c>
      <c r="J388">
        <v>0.05</v>
      </c>
      <c r="K388">
        <v>505.35</v>
      </c>
      <c r="L388">
        <v>112.31</v>
      </c>
    </row>
    <row r="389" spans="1:12" x14ac:dyDescent="0.3">
      <c r="A389" t="s">
        <v>426</v>
      </c>
      <c r="B389" s="1">
        <v>45907</v>
      </c>
      <c r="C389" t="s">
        <v>40</v>
      </c>
      <c r="D389" t="s">
        <v>19</v>
      </c>
      <c r="E389" t="s">
        <v>15</v>
      </c>
      <c r="F389" t="s">
        <v>21</v>
      </c>
      <c r="G389" t="s">
        <v>48</v>
      </c>
      <c r="H389">
        <v>1</v>
      </c>
      <c r="I389">
        <v>234.25</v>
      </c>
      <c r="J389">
        <v>0.05</v>
      </c>
      <c r="K389">
        <v>234.25</v>
      </c>
      <c r="L389">
        <v>51.02</v>
      </c>
    </row>
    <row r="390" spans="1:12" x14ac:dyDescent="0.3">
      <c r="A390" t="s">
        <v>427</v>
      </c>
      <c r="B390" s="1">
        <v>45744</v>
      </c>
      <c r="C390" t="s">
        <v>24</v>
      </c>
      <c r="D390" t="s">
        <v>25</v>
      </c>
      <c r="E390" t="s">
        <v>20</v>
      </c>
      <c r="F390" t="s">
        <v>31</v>
      </c>
      <c r="G390" t="s">
        <v>59</v>
      </c>
      <c r="H390">
        <v>7</v>
      </c>
      <c r="I390">
        <v>210.65</v>
      </c>
      <c r="J390">
        <v>0.15</v>
      </c>
      <c r="K390">
        <v>1474.55</v>
      </c>
      <c r="L390">
        <v>115.5</v>
      </c>
    </row>
    <row r="391" spans="1:12" x14ac:dyDescent="0.3">
      <c r="A391" t="s">
        <v>428</v>
      </c>
      <c r="B391" s="1">
        <v>45677</v>
      </c>
      <c r="C391" t="s">
        <v>24</v>
      </c>
      <c r="D391" t="s">
        <v>34</v>
      </c>
      <c r="E391" t="s">
        <v>20</v>
      </c>
      <c r="F391" t="s">
        <v>21</v>
      </c>
      <c r="G391" t="s">
        <v>22</v>
      </c>
      <c r="H391">
        <v>4</v>
      </c>
      <c r="I391">
        <v>23.69</v>
      </c>
      <c r="J391">
        <v>0</v>
      </c>
      <c r="K391">
        <v>94.76</v>
      </c>
      <c r="L391">
        <v>19.579999999999998</v>
      </c>
    </row>
    <row r="392" spans="1:12" x14ac:dyDescent="0.3">
      <c r="A392" t="s">
        <v>429</v>
      </c>
      <c r="B392" s="1">
        <v>45785</v>
      </c>
      <c r="C392" t="s">
        <v>24</v>
      </c>
      <c r="D392" t="s">
        <v>66</v>
      </c>
      <c r="E392" t="s">
        <v>15</v>
      </c>
      <c r="F392" t="s">
        <v>21</v>
      </c>
      <c r="G392" t="s">
        <v>22</v>
      </c>
      <c r="H392">
        <v>2</v>
      </c>
      <c r="I392">
        <v>201.02</v>
      </c>
      <c r="J392">
        <v>0.2</v>
      </c>
      <c r="K392">
        <v>402.04</v>
      </c>
      <c r="L392">
        <v>14.69</v>
      </c>
    </row>
    <row r="393" spans="1:12" x14ac:dyDescent="0.3">
      <c r="A393" t="s">
        <v>430</v>
      </c>
      <c r="B393" s="1">
        <v>45691</v>
      </c>
      <c r="C393" t="s">
        <v>13</v>
      </c>
      <c r="D393" t="s">
        <v>34</v>
      </c>
      <c r="E393" t="s">
        <v>15</v>
      </c>
      <c r="F393" t="s">
        <v>31</v>
      </c>
      <c r="G393" t="s">
        <v>32</v>
      </c>
      <c r="H393">
        <v>7</v>
      </c>
      <c r="I393">
        <v>445.67</v>
      </c>
      <c r="J393">
        <v>0.05</v>
      </c>
      <c r="K393">
        <v>3119.69</v>
      </c>
      <c r="L393">
        <v>353.1</v>
      </c>
    </row>
    <row r="394" spans="1:12" x14ac:dyDescent="0.3">
      <c r="A394" t="s">
        <v>431</v>
      </c>
      <c r="B394" s="1">
        <v>45908</v>
      </c>
      <c r="C394" t="s">
        <v>40</v>
      </c>
      <c r="D394" t="s">
        <v>19</v>
      </c>
      <c r="E394" t="s">
        <v>15</v>
      </c>
      <c r="F394" t="s">
        <v>16</v>
      </c>
      <c r="G394" t="s">
        <v>36</v>
      </c>
      <c r="H394">
        <v>4</v>
      </c>
      <c r="I394">
        <v>123.8</v>
      </c>
      <c r="J394">
        <v>0.05</v>
      </c>
      <c r="K394">
        <v>495.2</v>
      </c>
      <c r="L394">
        <v>39.76</v>
      </c>
    </row>
    <row r="395" spans="1:12" x14ac:dyDescent="0.3">
      <c r="A395" t="s">
        <v>432</v>
      </c>
      <c r="B395" s="1">
        <v>45669</v>
      </c>
      <c r="C395" t="s">
        <v>24</v>
      </c>
      <c r="D395" t="s">
        <v>19</v>
      </c>
      <c r="E395" t="s">
        <v>26</v>
      </c>
      <c r="F395" t="s">
        <v>16</v>
      </c>
      <c r="G395" t="s">
        <v>44</v>
      </c>
      <c r="H395">
        <v>7</v>
      </c>
      <c r="I395">
        <v>440.12</v>
      </c>
      <c r="J395">
        <v>0.1</v>
      </c>
      <c r="K395">
        <v>3080.84</v>
      </c>
      <c r="L395">
        <v>609.42999999999995</v>
      </c>
    </row>
    <row r="396" spans="1:12" x14ac:dyDescent="0.3">
      <c r="A396" t="s">
        <v>433</v>
      </c>
      <c r="B396" s="1">
        <v>45977</v>
      </c>
      <c r="C396" t="s">
        <v>13</v>
      </c>
      <c r="D396" t="s">
        <v>38</v>
      </c>
      <c r="E396" t="s">
        <v>26</v>
      </c>
      <c r="F396" t="s">
        <v>21</v>
      </c>
      <c r="G396" t="s">
        <v>48</v>
      </c>
      <c r="H396">
        <v>1</v>
      </c>
      <c r="I396">
        <v>38.39</v>
      </c>
      <c r="J396">
        <v>0</v>
      </c>
      <c r="K396">
        <v>38.39</v>
      </c>
      <c r="L396">
        <v>5.92</v>
      </c>
    </row>
    <row r="397" spans="1:12" x14ac:dyDescent="0.3">
      <c r="A397" t="s">
        <v>434</v>
      </c>
      <c r="B397" s="1">
        <v>45852</v>
      </c>
      <c r="C397" t="s">
        <v>13</v>
      </c>
      <c r="D397" t="s">
        <v>66</v>
      </c>
      <c r="E397" t="s">
        <v>15</v>
      </c>
      <c r="F397" t="s">
        <v>21</v>
      </c>
      <c r="G397" t="s">
        <v>22</v>
      </c>
      <c r="H397">
        <v>4</v>
      </c>
      <c r="I397">
        <v>352.17</v>
      </c>
      <c r="J397">
        <v>0</v>
      </c>
      <c r="K397">
        <v>1408.68</v>
      </c>
      <c r="L397">
        <v>176.48</v>
      </c>
    </row>
    <row r="398" spans="1:12" x14ac:dyDescent="0.3">
      <c r="A398" t="s">
        <v>435</v>
      </c>
      <c r="B398" s="1">
        <v>45996</v>
      </c>
      <c r="C398" t="s">
        <v>13</v>
      </c>
      <c r="D398" t="s">
        <v>66</v>
      </c>
      <c r="E398" t="s">
        <v>15</v>
      </c>
      <c r="F398" t="s">
        <v>21</v>
      </c>
      <c r="G398" t="s">
        <v>27</v>
      </c>
      <c r="H398">
        <v>7</v>
      </c>
      <c r="I398">
        <v>417.87</v>
      </c>
      <c r="J398">
        <v>0</v>
      </c>
      <c r="K398">
        <v>2925.09</v>
      </c>
      <c r="L398">
        <v>520.36</v>
      </c>
    </row>
    <row r="399" spans="1:12" x14ac:dyDescent="0.3">
      <c r="A399" t="s">
        <v>436</v>
      </c>
      <c r="B399" s="1">
        <v>45974</v>
      </c>
      <c r="C399" t="s">
        <v>13</v>
      </c>
      <c r="D399" t="s">
        <v>46</v>
      </c>
      <c r="E399" t="s">
        <v>20</v>
      </c>
      <c r="F399" t="s">
        <v>31</v>
      </c>
      <c r="G399" t="s">
        <v>59</v>
      </c>
      <c r="H399">
        <v>4</v>
      </c>
      <c r="I399">
        <v>310.37</v>
      </c>
      <c r="J399">
        <v>0.1</v>
      </c>
      <c r="K399">
        <v>1241.48</v>
      </c>
      <c r="L399">
        <v>264.27999999999997</v>
      </c>
    </row>
    <row r="400" spans="1:12" x14ac:dyDescent="0.3">
      <c r="A400" t="s">
        <v>437</v>
      </c>
      <c r="B400" s="1">
        <v>45761</v>
      </c>
      <c r="C400" t="s">
        <v>40</v>
      </c>
      <c r="D400" t="s">
        <v>66</v>
      </c>
      <c r="E400" t="s">
        <v>15</v>
      </c>
      <c r="F400" t="s">
        <v>21</v>
      </c>
      <c r="G400" t="s">
        <v>22</v>
      </c>
      <c r="H400">
        <v>1</v>
      </c>
      <c r="I400">
        <v>280.85000000000002</v>
      </c>
      <c r="J400">
        <v>0.05</v>
      </c>
      <c r="K400">
        <v>280.85000000000002</v>
      </c>
      <c r="L400">
        <v>56.04</v>
      </c>
    </row>
    <row r="401" spans="1:12" x14ac:dyDescent="0.3">
      <c r="A401" t="s">
        <v>438</v>
      </c>
      <c r="B401" s="1">
        <v>45904</v>
      </c>
      <c r="C401" t="s">
        <v>40</v>
      </c>
      <c r="D401" t="s">
        <v>38</v>
      </c>
      <c r="E401" t="s">
        <v>20</v>
      </c>
      <c r="F401" t="s">
        <v>16</v>
      </c>
      <c r="G401" t="s">
        <v>36</v>
      </c>
      <c r="H401">
        <v>2</v>
      </c>
      <c r="I401">
        <v>420.09</v>
      </c>
      <c r="J401">
        <v>0.15</v>
      </c>
      <c r="K401">
        <v>840.18</v>
      </c>
      <c r="L401">
        <v>16.62</v>
      </c>
    </row>
    <row r="402" spans="1:12" x14ac:dyDescent="0.3">
      <c r="A402" t="s">
        <v>439</v>
      </c>
      <c r="B402" s="1">
        <v>45704</v>
      </c>
      <c r="C402" t="s">
        <v>13</v>
      </c>
      <c r="D402" t="s">
        <v>29</v>
      </c>
      <c r="E402" t="s">
        <v>20</v>
      </c>
      <c r="F402" t="s">
        <v>21</v>
      </c>
      <c r="G402" t="s">
        <v>27</v>
      </c>
      <c r="H402">
        <v>4</v>
      </c>
      <c r="I402">
        <v>236.52</v>
      </c>
      <c r="J402">
        <v>0.1</v>
      </c>
      <c r="K402">
        <v>946.08</v>
      </c>
      <c r="L402">
        <v>67.2</v>
      </c>
    </row>
    <row r="403" spans="1:12" x14ac:dyDescent="0.3">
      <c r="A403" t="s">
        <v>440</v>
      </c>
      <c r="B403" s="1">
        <v>45683</v>
      </c>
      <c r="C403" t="s">
        <v>13</v>
      </c>
      <c r="D403" t="s">
        <v>34</v>
      </c>
      <c r="E403" t="s">
        <v>15</v>
      </c>
      <c r="F403" t="s">
        <v>16</v>
      </c>
      <c r="G403" t="s">
        <v>36</v>
      </c>
      <c r="H403">
        <v>6</v>
      </c>
      <c r="I403">
        <v>221.61</v>
      </c>
      <c r="J403">
        <v>0</v>
      </c>
      <c r="K403">
        <v>1329.66</v>
      </c>
      <c r="L403">
        <v>98.06</v>
      </c>
    </row>
    <row r="404" spans="1:12" x14ac:dyDescent="0.3">
      <c r="A404" t="s">
        <v>441</v>
      </c>
      <c r="B404" s="1">
        <v>45681</v>
      </c>
      <c r="C404" t="s">
        <v>13</v>
      </c>
      <c r="D404" t="s">
        <v>66</v>
      </c>
      <c r="E404" t="s">
        <v>26</v>
      </c>
      <c r="F404" t="s">
        <v>16</v>
      </c>
      <c r="G404" t="s">
        <v>17</v>
      </c>
      <c r="H404">
        <v>6</v>
      </c>
      <c r="I404">
        <v>188.4</v>
      </c>
      <c r="J404">
        <v>0.15</v>
      </c>
      <c r="K404">
        <v>1130.4000000000001</v>
      </c>
      <c r="L404">
        <v>250.13</v>
      </c>
    </row>
    <row r="405" spans="1:12" x14ac:dyDescent="0.3">
      <c r="A405" t="s">
        <v>442</v>
      </c>
      <c r="B405" s="1">
        <v>45795</v>
      </c>
      <c r="C405" t="s">
        <v>13</v>
      </c>
      <c r="D405" t="s">
        <v>38</v>
      </c>
      <c r="E405" t="s">
        <v>20</v>
      </c>
      <c r="F405" t="s">
        <v>31</v>
      </c>
      <c r="G405" t="s">
        <v>32</v>
      </c>
      <c r="H405">
        <v>7</v>
      </c>
      <c r="I405">
        <v>209.12</v>
      </c>
      <c r="J405">
        <v>0.15</v>
      </c>
      <c r="K405">
        <v>1463.84</v>
      </c>
      <c r="L405">
        <v>73.86</v>
      </c>
    </row>
    <row r="406" spans="1:12" x14ac:dyDescent="0.3">
      <c r="A406" t="s">
        <v>443</v>
      </c>
      <c r="B406" s="1">
        <v>45855</v>
      </c>
      <c r="C406" t="s">
        <v>43</v>
      </c>
      <c r="D406" t="s">
        <v>38</v>
      </c>
      <c r="E406" t="s">
        <v>20</v>
      </c>
      <c r="F406" t="s">
        <v>31</v>
      </c>
      <c r="G406" t="s">
        <v>55</v>
      </c>
      <c r="H406">
        <v>3</v>
      </c>
      <c r="I406">
        <v>352.64</v>
      </c>
      <c r="J406">
        <v>0</v>
      </c>
      <c r="K406">
        <v>1057.92</v>
      </c>
      <c r="L406">
        <v>312.5</v>
      </c>
    </row>
    <row r="407" spans="1:12" x14ac:dyDescent="0.3">
      <c r="A407" t="s">
        <v>444</v>
      </c>
      <c r="B407" s="1">
        <v>45739</v>
      </c>
      <c r="C407" t="s">
        <v>13</v>
      </c>
      <c r="D407" t="s">
        <v>46</v>
      </c>
      <c r="E407" t="s">
        <v>15</v>
      </c>
      <c r="F407" t="s">
        <v>31</v>
      </c>
      <c r="G407" t="s">
        <v>55</v>
      </c>
      <c r="H407">
        <v>3</v>
      </c>
      <c r="I407">
        <v>311.49</v>
      </c>
      <c r="J407">
        <v>0.1</v>
      </c>
      <c r="K407">
        <v>934.47</v>
      </c>
      <c r="L407">
        <v>147.5</v>
      </c>
    </row>
    <row r="408" spans="1:12" x14ac:dyDescent="0.3">
      <c r="A408" t="s">
        <v>445</v>
      </c>
      <c r="B408" s="1">
        <v>46008</v>
      </c>
      <c r="C408" t="s">
        <v>24</v>
      </c>
      <c r="D408" t="s">
        <v>25</v>
      </c>
      <c r="E408" t="s">
        <v>20</v>
      </c>
      <c r="F408" t="s">
        <v>31</v>
      </c>
      <c r="G408" t="s">
        <v>32</v>
      </c>
      <c r="H408">
        <v>8</v>
      </c>
      <c r="I408">
        <v>37.299999999999997</v>
      </c>
      <c r="J408">
        <v>0.1</v>
      </c>
      <c r="K408">
        <v>298.39999999999998</v>
      </c>
      <c r="L408">
        <v>50.35</v>
      </c>
    </row>
    <row r="409" spans="1:12" x14ac:dyDescent="0.3">
      <c r="A409" t="s">
        <v>446</v>
      </c>
      <c r="B409" s="1">
        <v>45664</v>
      </c>
      <c r="C409" t="s">
        <v>24</v>
      </c>
      <c r="D409" t="s">
        <v>38</v>
      </c>
      <c r="E409" t="s">
        <v>26</v>
      </c>
      <c r="F409" t="s">
        <v>21</v>
      </c>
      <c r="G409" t="s">
        <v>22</v>
      </c>
      <c r="H409">
        <v>7</v>
      </c>
      <c r="I409">
        <v>335.93</v>
      </c>
      <c r="J409">
        <v>0.05</v>
      </c>
      <c r="K409">
        <v>2351.5100000000002</v>
      </c>
      <c r="L409">
        <v>347.98</v>
      </c>
    </row>
    <row r="410" spans="1:12" x14ac:dyDescent="0.3">
      <c r="A410" t="s">
        <v>447</v>
      </c>
      <c r="B410" s="1">
        <v>45997</v>
      </c>
      <c r="C410" t="s">
        <v>43</v>
      </c>
      <c r="D410" t="s">
        <v>19</v>
      </c>
      <c r="E410" t="s">
        <v>26</v>
      </c>
      <c r="F410" t="s">
        <v>16</v>
      </c>
      <c r="G410" t="s">
        <v>17</v>
      </c>
      <c r="H410">
        <v>1</v>
      </c>
      <c r="I410">
        <v>327.05</v>
      </c>
      <c r="J410">
        <v>0.05</v>
      </c>
      <c r="K410">
        <v>327.05</v>
      </c>
      <c r="L410">
        <v>50.33</v>
      </c>
    </row>
    <row r="411" spans="1:12" x14ac:dyDescent="0.3">
      <c r="A411" t="s">
        <v>448</v>
      </c>
      <c r="B411" s="1">
        <v>45898</v>
      </c>
      <c r="C411" t="s">
        <v>43</v>
      </c>
      <c r="D411" t="s">
        <v>34</v>
      </c>
      <c r="E411" t="s">
        <v>15</v>
      </c>
      <c r="F411" t="s">
        <v>16</v>
      </c>
      <c r="G411" t="s">
        <v>36</v>
      </c>
      <c r="H411">
        <v>4</v>
      </c>
      <c r="I411">
        <v>175.48</v>
      </c>
      <c r="J411">
        <v>0.1</v>
      </c>
      <c r="K411">
        <v>701.92</v>
      </c>
      <c r="L411">
        <v>12.35</v>
      </c>
    </row>
    <row r="412" spans="1:12" x14ac:dyDescent="0.3">
      <c r="A412" t="s">
        <v>449</v>
      </c>
      <c r="B412" s="1">
        <v>45772</v>
      </c>
      <c r="C412" t="s">
        <v>43</v>
      </c>
      <c r="D412" t="s">
        <v>46</v>
      </c>
      <c r="E412" t="s">
        <v>20</v>
      </c>
      <c r="F412" t="s">
        <v>31</v>
      </c>
      <c r="G412" t="s">
        <v>59</v>
      </c>
      <c r="H412">
        <v>8</v>
      </c>
      <c r="I412">
        <v>403.61</v>
      </c>
      <c r="J412">
        <v>0.15</v>
      </c>
      <c r="K412">
        <v>3228.88</v>
      </c>
      <c r="L412">
        <v>14.55</v>
      </c>
    </row>
    <row r="413" spans="1:12" x14ac:dyDescent="0.3">
      <c r="A413" t="s">
        <v>450</v>
      </c>
      <c r="B413" s="1">
        <v>45913</v>
      </c>
      <c r="C413" t="s">
        <v>43</v>
      </c>
      <c r="D413" t="s">
        <v>19</v>
      </c>
      <c r="E413" t="s">
        <v>15</v>
      </c>
      <c r="F413" t="s">
        <v>31</v>
      </c>
      <c r="G413" t="s">
        <v>59</v>
      </c>
      <c r="H413">
        <v>2</v>
      </c>
      <c r="I413">
        <v>210.67</v>
      </c>
      <c r="J413">
        <v>0</v>
      </c>
      <c r="K413">
        <v>421.34</v>
      </c>
      <c r="L413">
        <v>79.75</v>
      </c>
    </row>
    <row r="414" spans="1:12" x14ac:dyDescent="0.3">
      <c r="A414" t="s">
        <v>451</v>
      </c>
      <c r="B414" s="1">
        <v>45658</v>
      </c>
      <c r="C414" t="s">
        <v>13</v>
      </c>
      <c r="D414" t="s">
        <v>29</v>
      </c>
      <c r="E414" t="s">
        <v>26</v>
      </c>
      <c r="F414" t="s">
        <v>21</v>
      </c>
      <c r="G414" t="s">
        <v>27</v>
      </c>
      <c r="H414">
        <v>4</v>
      </c>
      <c r="I414">
        <v>332.48</v>
      </c>
      <c r="J414">
        <v>0.15</v>
      </c>
      <c r="K414">
        <v>1329.92</v>
      </c>
      <c r="L414">
        <v>292.7</v>
      </c>
    </row>
    <row r="415" spans="1:12" x14ac:dyDescent="0.3">
      <c r="A415" t="s">
        <v>452</v>
      </c>
      <c r="B415" s="1">
        <v>45844</v>
      </c>
      <c r="C415" t="s">
        <v>13</v>
      </c>
      <c r="D415" t="s">
        <v>46</v>
      </c>
      <c r="E415" t="s">
        <v>15</v>
      </c>
      <c r="F415" t="s">
        <v>16</v>
      </c>
      <c r="G415" t="s">
        <v>44</v>
      </c>
      <c r="H415">
        <v>6</v>
      </c>
      <c r="I415">
        <v>362.22</v>
      </c>
      <c r="J415">
        <v>0</v>
      </c>
      <c r="K415">
        <v>2173.3200000000002</v>
      </c>
      <c r="L415">
        <v>161.61000000000001</v>
      </c>
    </row>
    <row r="416" spans="1:12" x14ac:dyDescent="0.3">
      <c r="A416" t="s">
        <v>453</v>
      </c>
      <c r="B416" s="1">
        <v>45995</v>
      </c>
      <c r="C416" t="s">
        <v>24</v>
      </c>
      <c r="D416" t="s">
        <v>29</v>
      </c>
      <c r="E416" t="s">
        <v>15</v>
      </c>
      <c r="F416" t="s">
        <v>16</v>
      </c>
      <c r="G416" t="s">
        <v>44</v>
      </c>
      <c r="H416">
        <v>6</v>
      </c>
      <c r="I416">
        <v>355.52</v>
      </c>
      <c r="J416">
        <v>0</v>
      </c>
      <c r="K416">
        <v>2133.12</v>
      </c>
      <c r="L416">
        <v>584.94000000000005</v>
      </c>
    </row>
    <row r="417" spans="1:12" x14ac:dyDescent="0.3">
      <c r="A417" t="s">
        <v>454</v>
      </c>
      <c r="B417" s="1">
        <v>45910</v>
      </c>
      <c r="C417" t="s">
        <v>24</v>
      </c>
      <c r="D417" t="s">
        <v>25</v>
      </c>
      <c r="E417" t="s">
        <v>26</v>
      </c>
      <c r="F417" t="s">
        <v>21</v>
      </c>
      <c r="G417" t="s">
        <v>27</v>
      </c>
      <c r="H417">
        <v>2</v>
      </c>
      <c r="I417">
        <v>138.33000000000001</v>
      </c>
      <c r="J417">
        <v>0.05</v>
      </c>
      <c r="K417">
        <v>276.66000000000003</v>
      </c>
      <c r="L417">
        <v>20.58</v>
      </c>
    </row>
    <row r="418" spans="1:12" x14ac:dyDescent="0.3">
      <c r="A418" t="s">
        <v>455</v>
      </c>
      <c r="B418" s="1">
        <v>45859</v>
      </c>
      <c r="C418" t="s">
        <v>24</v>
      </c>
      <c r="D418" t="s">
        <v>34</v>
      </c>
      <c r="E418" t="s">
        <v>26</v>
      </c>
      <c r="F418" t="s">
        <v>31</v>
      </c>
      <c r="G418" t="s">
        <v>59</v>
      </c>
      <c r="H418">
        <v>2</v>
      </c>
      <c r="I418">
        <v>382.22</v>
      </c>
      <c r="J418">
        <v>0</v>
      </c>
      <c r="K418">
        <v>764.44</v>
      </c>
      <c r="L418">
        <v>215.31</v>
      </c>
    </row>
    <row r="419" spans="1:12" x14ac:dyDescent="0.3">
      <c r="A419" t="s">
        <v>456</v>
      </c>
      <c r="B419" s="1">
        <v>46002</v>
      </c>
      <c r="C419" t="s">
        <v>13</v>
      </c>
      <c r="D419" t="s">
        <v>66</v>
      </c>
      <c r="E419" t="s">
        <v>26</v>
      </c>
      <c r="F419" t="s">
        <v>31</v>
      </c>
      <c r="G419" t="s">
        <v>32</v>
      </c>
      <c r="H419">
        <v>8</v>
      </c>
      <c r="I419">
        <v>17.100000000000001</v>
      </c>
      <c r="J419">
        <v>0</v>
      </c>
      <c r="K419">
        <v>136.80000000000001</v>
      </c>
      <c r="L419">
        <v>25.76</v>
      </c>
    </row>
    <row r="420" spans="1:12" x14ac:dyDescent="0.3">
      <c r="A420" t="s">
        <v>457</v>
      </c>
      <c r="B420" s="1">
        <v>45879</v>
      </c>
      <c r="C420" t="s">
        <v>43</v>
      </c>
      <c r="D420" t="s">
        <v>66</v>
      </c>
      <c r="E420" t="s">
        <v>26</v>
      </c>
      <c r="F420" t="s">
        <v>21</v>
      </c>
      <c r="G420" t="s">
        <v>48</v>
      </c>
      <c r="H420">
        <v>3</v>
      </c>
      <c r="I420">
        <v>65.22</v>
      </c>
      <c r="J420">
        <v>0.2</v>
      </c>
      <c r="K420">
        <v>195.66</v>
      </c>
      <c r="L420">
        <v>21.82</v>
      </c>
    </row>
    <row r="421" spans="1:12" x14ac:dyDescent="0.3">
      <c r="A421" t="s">
        <v>458</v>
      </c>
      <c r="B421" s="1">
        <v>45822</v>
      </c>
      <c r="C421" t="s">
        <v>43</v>
      </c>
      <c r="D421" t="s">
        <v>14</v>
      </c>
      <c r="E421" t="s">
        <v>26</v>
      </c>
      <c r="F421" t="s">
        <v>31</v>
      </c>
      <c r="G421" t="s">
        <v>55</v>
      </c>
      <c r="H421">
        <v>5</v>
      </c>
      <c r="I421">
        <v>207.97</v>
      </c>
      <c r="J421">
        <v>0.1</v>
      </c>
      <c r="K421">
        <v>1039.8499999999999</v>
      </c>
      <c r="L421">
        <v>257.49</v>
      </c>
    </row>
    <row r="422" spans="1:12" x14ac:dyDescent="0.3">
      <c r="A422" t="s">
        <v>459</v>
      </c>
      <c r="B422" s="1">
        <v>45889</v>
      </c>
      <c r="C422" t="s">
        <v>24</v>
      </c>
      <c r="D422" t="s">
        <v>29</v>
      </c>
      <c r="E422" t="s">
        <v>26</v>
      </c>
      <c r="F422" t="s">
        <v>16</v>
      </c>
      <c r="G422" t="s">
        <v>44</v>
      </c>
      <c r="H422">
        <v>6</v>
      </c>
      <c r="I422">
        <v>360.26</v>
      </c>
      <c r="J422">
        <v>0.2</v>
      </c>
      <c r="K422">
        <v>2161.56</v>
      </c>
      <c r="L422">
        <v>255.38</v>
      </c>
    </row>
    <row r="423" spans="1:12" x14ac:dyDescent="0.3">
      <c r="A423" t="s">
        <v>460</v>
      </c>
      <c r="B423" s="1">
        <v>45760</v>
      </c>
      <c r="C423" t="s">
        <v>24</v>
      </c>
      <c r="D423" t="s">
        <v>34</v>
      </c>
      <c r="E423" t="s">
        <v>15</v>
      </c>
      <c r="F423" t="s">
        <v>21</v>
      </c>
      <c r="G423" t="s">
        <v>27</v>
      </c>
      <c r="H423">
        <v>3</v>
      </c>
      <c r="I423">
        <v>490.95</v>
      </c>
      <c r="J423">
        <v>0.05</v>
      </c>
      <c r="K423">
        <v>1472.85</v>
      </c>
      <c r="L423">
        <v>226.04</v>
      </c>
    </row>
    <row r="424" spans="1:12" x14ac:dyDescent="0.3">
      <c r="A424" t="s">
        <v>461</v>
      </c>
      <c r="B424" s="1">
        <v>46013</v>
      </c>
      <c r="C424" t="s">
        <v>40</v>
      </c>
      <c r="D424" t="s">
        <v>46</v>
      </c>
      <c r="E424" t="s">
        <v>15</v>
      </c>
      <c r="F424" t="s">
        <v>21</v>
      </c>
      <c r="G424" t="s">
        <v>48</v>
      </c>
      <c r="H424">
        <v>7</v>
      </c>
      <c r="I424">
        <v>342.01</v>
      </c>
      <c r="J424">
        <v>0.2</v>
      </c>
      <c r="K424">
        <v>2394.0700000000002</v>
      </c>
      <c r="L424">
        <v>75.37</v>
      </c>
    </row>
    <row r="425" spans="1:12" x14ac:dyDescent="0.3">
      <c r="A425" t="s">
        <v>462</v>
      </c>
      <c r="B425" s="1">
        <v>45874</v>
      </c>
      <c r="C425" t="s">
        <v>13</v>
      </c>
      <c r="D425" t="s">
        <v>25</v>
      </c>
      <c r="E425" t="s">
        <v>20</v>
      </c>
      <c r="F425" t="s">
        <v>21</v>
      </c>
      <c r="G425" t="s">
        <v>48</v>
      </c>
      <c r="H425">
        <v>3</v>
      </c>
      <c r="I425">
        <v>40.74</v>
      </c>
      <c r="J425">
        <v>0</v>
      </c>
      <c r="K425">
        <v>122.22</v>
      </c>
      <c r="L425">
        <v>12.22</v>
      </c>
    </row>
    <row r="426" spans="1:12" x14ac:dyDescent="0.3">
      <c r="A426" t="s">
        <v>463</v>
      </c>
      <c r="B426" s="1">
        <v>45740</v>
      </c>
      <c r="C426" t="s">
        <v>40</v>
      </c>
      <c r="D426" t="s">
        <v>19</v>
      </c>
      <c r="E426" t="s">
        <v>20</v>
      </c>
      <c r="F426" t="s">
        <v>21</v>
      </c>
      <c r="G426" t="s">
        <v>22</v>
      </c>
      <c r="H426">
        <v>5</v>
      </c>
      <c r="I426">
        <v>113.94</v>
      </c>
      <c r="J426">
        <v>0.2</v>
      </c>
      <c r="K426">
        <v>569.70000000000005</v>
      </c>
      <c r="L426">
        <v>-18.190000000000001</v>
      </c>
    </row>
    <row r="427" spans="1:12" x14ac:dyDescent="0.3">
      <c r="A427" t="s">
        <v>464</v>
      </c>
      <c r="B427" s="1">
        <v>45889</v>
      </c>
      <c r="C427" t="s">
        <v>13</v>
      </c>
      <c r="D427" t="s">
        <v>14</v>
      </c>
      <c r="E427" t="s">
        <v>26</v>
      </c>
      <c r="F427" t="s">
        <v>21</v>
      </c>
      <c r="G427" t="s">
        <v>27</v>
      </c>
      <c r="H427">
        <v>7</v>
      </c>
      <c r="I427">
        <v>130.22999999999999</v>
      </c>
      <c r="J427">
        <v>0.1</v>
      </c>
      <c r="K427">
        <v>911.61</v>
      </c>
      <c r="L427">
        <v>162.47999999999999</v>
      </c>
    </row>
    <row r="428" spans="1:12" x14ac:dyDescent="0.3">
      <c r="A428" t="s">
        <v>465</v>
      </c>
      <c r="B428" s="1">
        <v>45682</v>
      </c>
      <c r="C428" t="s">
        <v>43</v>
      </c>
      <c r="D428" t="s">
        <v>34</v>
      </c>
      <c r="E428" t="s">
        <v>26</v>
      </c>
      <c r="F428" t="s">
        <v>31</v>
      </c>
      <c r="G428" t="s">
        <v>32</v>
      </c>
      <c r="H428">
        <v>1</v>
      </c>
      <c r="I428">
        <v>21.29</v>
      </c>
      <c r="J428">
        <v>0.1</v>
      </c>
      <c r="K428">
        <v>21.29</v>
      </c>
      <c r="L428">
        <v>1.19</v>
      </c>
    </row>
    <row r="429" spans="1:12" x14ac:dyDescent="0.3">
      <c r="A429" t="s">
        <v>466</v>
      </c>
      <c r="B429" s="1">
        <v>45884</v>
      </c>
      <c r="C429" t="s">
        <v>24</v>
      </c>
      <c r="D429" t="s">
        <v>34</v>
      </c>
      <c r="E429" t="s">
        <v>26</v>
      </c>
      <c r="F429" t="s">
        <v>21</v>
      </c>
      <c r="G429" t="s">
        <v>27</v>
      </c>
      <c r="H429">
        <v>4</v>
      </c>
      <c r="I429">
        <v>391.43</v>
      </c>
      <c r="J429">
        <v>0.05</v>
      </c>
      <c r="K429">
        <v>1565.72</v>
      </c>
      <c r="L429">
        <v>158.21</v>
      </c>
    </row>
    <row r="430" spans="1:12" x14ac:dyDescent="0.3">
      <c r="A430" t="s">
        <v>467</v>
      </c>
      <c r="B430" s="1">
        <v>45748</v>
      </c>
      <c r="C430" t="s">
        <v>13</v>
      </c>
      <c r="D430" t="s">
        <v>38</v>
      </c>
      <c r="E430" t="s">
        <v>26</v>
      </c>
      <c r="F430" t="s">
        <v>16</v>
      </c>
      <c r="G430" t="s">
        <v>36</v>
      </c>
      <c r="H430">
        <v>7</v>
      </c>
      <c r="I430">
        <v>34.71</v>
      </c>
      <c r="J430">
        <v>0.1</v>
      </c>
      <c r="K430">
        <v>242.97</v>
      </c>
      <c r="L430">
        <v>35.020000000000003</v>
      </c>
    </row>
    <row r="431" spans="1:12" x14ac:dyDescent="0.3">
      <c r="A431" t="s">
        <v>468</v>
      </c>
      <c r="B431" s="1">
        <v>45724</v>
      </c>
      <c r="C431" t="s">
        <v>24</v>
      </c>
      <c r="D431" t="s">
        <v>34</v>
      </c>
      <c r="E431" t="s">
        <v>20</v>
      </c>
      <c r="F431" t="s">
        <v>21</v>
      </c>
      <c r="G431" t="s">
        <v>22</v>
      </c>
      <c r="H431">
        <v>8</v>
      </c>
      <c r="I431">
        <v>359.2</v>
      </c>
      <c r="J431">
        <v>0.05</v>
      </c>
      <c r="K431">
        <v>2873.6</v>
      </c>
      <c r="L431">
        <v>107.72</v>
      </c>
    </row>
    <row r="432" spans="1:12" x14ac:dyDescent="0.3">
      <c r="A432" t="s">
        <v>469</v>
      </c>
      <c r="B432" s="1">
        <v>45823</v>
      </c>
      <c r="C432" t="s">
        <v>13</v>
      </c>
      <c r="D432" t="s">
        <v>29</v>
      </c>
      <c r="E432" t="s">
        <v>26</v>
      </c>
      <c r="F432" t="s">
        <v>21</v>
      </c>
      <c r="G432" t="s">
        <v>27</v>
      </c>
      <c r="H432">
        <v>8</v>
      </c>
      <c r="I432">
        <v>398.11</v>
      </c>
      <c r="J432">
        <v>0.2</v>
      </c>
      <c r="K432">
        <v>3184.88</v>
      </c>
      <c r="L432">
        <v>157.72</v>
      </c>
    </row>
    <row r="433" spans="1:12" x14ac:dyDescent="0.3">
      <c r="A433" t="s">
        <v>470</v>
      </c>
      <c r="B433" s="1">
        <v>46020</v>
      </c>
      <c r="C433" t="s">
        <v>40</v>
      </c>
      <c r="D433" t="s">
        <v>38</v>
      </c>
      <c r="E433" t="s">
        <v>20</v>
      </c>
      <c r="F433" t="s">
        <v>21</v>
      </c>
      <c r="G433" t="s">
        <v>48</v>
      </c>
      <c r="H433">
        <v>3</v>
      </c>
      <c r="I433">
        <v>216.73</v>
      </c>
      <c r="J433">
        <v>0.2</v>
      </c>
      <c r="K433">
        <v>650.19000000000005</v>
      </c>
      <c r="L433">
        <v>39.57</v>
      </c>
    </row>
    <row r="434" spans="1:12" x14ac:dyDescent="0.3">
      <c r="A434" t="s">
        <v>471</v>
      </c>
      <c r="B434" s="1">
        <v>45836</v>
      </c>
      <c r="C434" t="s">
        <v>24</v>
      </c>
      <c r="D434" t="s">
        <v>34</v>
      </c>
      <c r="E434" t="s">
        <v>15</v>
      </c>
      <c r="F434" t="s">
        <v>16</v>
      </c>
      <c r="G434" t="s">
        <v>17</v>
      </c>
      <c r="H434">
        <v>6</v>
      </c>
      <c r="I434">
        <v>157.38</v>
      </c>
      <c r="J434">
        <v>0.2</v>
      </c>
      <c r="K434">
        <v>944.28</v>
      </c>
      <c r="L434">
        <v>87.46</v>
      </c>
    </row>
    <row r="435" spans="1:12" x14ac:dyDescent="0.3">
      <c r="A435" t="s">
        <v>472</v>
      </c>
      <c r="B435" s="1">
        <v>45945</v>
      </c>
      <c r="C435" t="s">
        <v>13</v>
      </c>
      <c r="D435" t="s">
        <v>46</v>
      </c>
      <c r="E435" t="s">
        <v>15</v>
      </c>
      <c r="F435" t="s">
        <v>16</v>
      </c>
      <c r="G435" t="s">
        <v>17</v>
      </c>
      <c r="H435">
        <v>4</v>
      </c>
      <c r="I435">
        <v>453.68</v>
      </c>
      <c r="J435">
        <v>0.2</v>
      </c>
      <c r="K435">
        <v>1814.72</v>
      </c>
      <c r="L435">
        <v>344.16</v>
      </c>
    </row>
    <row r="436" spans="1:12" x14ac:dyDescent="0.3">
      <c r="A436" t="s">
        <v>473</v>
      </c>
      <c r="B436" s="1">
        <v>45782</v>
      </c>
      <c r="C436" t="s">
        <v>13</v>
      </c>
      <c r="D436" t="s">
        <v>38</v>
      </c>
      <c r="E436" t="s">
        <v>15</v>
      </c>
      <c r="F436" t="s">
        <v>21</v>
      </c>
      <c r="G436" t="s">
        <v>22</v>
      </c>
      <c r="H436">
        <v>7</v>
      </c>
      <c r="I436">
        <v>139.44999999999999</v>
      </c>
      <c r="J436">
        <v>0.1</v>
      </c>
      <c r="K436">
        <v>976.15</v>
      </c>
      <c r="L436">
        <v>10.91</v>
      </c>
    </row>
    <row r="437" spans="1:12" x14ac:dyDescent="0.3">
      <c r="A437" t="s">
        <v>474</v>
      </c>
      <c r="B437" s="1">
        <v>45922</v>
      </c>
      <c r="C437" t="s">
        <v>40</v>
      </c>
      <c r="D437" t="s">
        <v>46</v>
      </c>
      <c r="E437" t="s">
        <v>15</v>
      </c>
      <c r="F437" t="s">
        <v>21</v>
      </c>
      <c r="G437" t="s">
        <v>27</v>
      </c>
      <c r="H437">
        <v>1</v>
      </c>
      <c r="I437">
        <v>158.77000000000001</v>
      </c>
      <c r="J437">
        <v>0.05</v>
      </c>
      <c r="K437">
        <v>158.77000000000001</v>
      </c>
      <c r="L437">
        <v>17.079999999999998</v>
      </c>
    </row>
    <row r="438" spans="1:12" x14ac:dyDescent="0.3">
      <c r="A438" t="s">
        <v>475</v>
      </c>
      <c r="B438" s="1">
        <v>45700</v>
      </c>
      <c r="C438" t="s">
        <v>13</v>
      </c>
      <c r="D438" t="s">
        <v>19</v>
      </c>
      <c r="E438" t="s">
        <v>26</v>
      </c>
      <c r="F438" t="s">
        <v>16</v>
      </c>
      <c r="G438" t="s">
        <v>17</v>
      </c>
      <c r="H438">
        <v>2</v>
      </c>
      <c r="I438">
        <v>117.23</v>
      </c>
      <c r="J438">
        <v>0.05</v>
      </c>
      <c r="K438">
        <v>234.46</v>
      </c>
      <c r="L438">
        <v>57.15</v>
      </c>
    </row>
    <row r="439" spans="1:12" x14ac:dyDescent="0.3">
      <c r="A439" t="s">
        <v>476</v>
      </c>
      <c r="B439" s="1">
        <v>45875</v>
      </c>
      <c r="C439" t="s">
        <v>13</v>
      </c>
      <c r="D439" t="s">
        <v>25</v>
      </c>
      <c r="E439" t="s">
        <v>26</v>
      </c>
      <c r="F439" t="s">
        <v>16</v>
      </c>
      <c r="G439" t="s">
        <v>17</v>
      </c>
      <c r="H439">
        <v>2</v>
      </c>
      <c r="I439">
        <v>377.24</v>
      </c>
      <c r="J439">
        <v>0.05</v>
      </c>
      <c r="K439">
        <v>754.48</v>
      </c>
      <c r="L439">
        <v>25.23</v>
      </c>
    </row>
    <row r="440" spans="1:12" x14ac:dyDescent="0.3">
      <c r="A440" t="s">
        <v>477</v>
      </c>
      <c r="B440" s="1">
        <v>45827</v>
      </c>
      <c r="C440" t="s">
        <v>13</v>
      </c>
      <c r="D440" t="s">
        <v>66</v>
      </c>
      <c r="E440" t="s">
        <v>20</v>
      </c>
      <c r="F440" t="s">
        <v>16</v>
      </c>
      <c r="G440" t="s">
        <v>36</v>
      </c>
      <c r="H440">
        <v>5</v>
      </c>
      <c r="I440">
        <v>285.67</v>
      </c>
      <c r="J440">
        <v>0.2</v>
      </c>
      <c r="K440">
        <v>1428.35</v>
      </c>
      <c r="L440">
        <v>236.26</v>
      </c>
    </row>
    <row r="441" spans="1:12" x14ac:dyDescent="0.3">
      <c r="A441" t="s">
        <v>478</v>
      </c>
      <c r="B441" s="1">
        <v>45790</v>
      </c>
      <c r="C441" t="s">
        <v>43</v>
      </c>
      <c r="D441" t="s">
        <v>25</v>
      </c>
      <c r="E441" t="s">
        <v>26</v>
      </c>
      <c r="F441" t="s">
        <v>31</v>
      </c>
      <c r="G441" t="s">
        <v>32</v>
      </c>
      <c r="H441">
        <v>7</v>
      </c>
      <c r="I441">
        <v>168.46</v>
      </c>
      <c r="J441">
        <v>0.15</v>
      </c>
      <c r="K441">
        <v>1179.22</v>
      </c>
      <c r="L441">
        <v>177.86</v>
      </c>
    </row>
    <row r="442" spans="1:12" x14ac:dyDescent="0.3">
      <c r="A442" t="s">
        <v>479</v>
      </c>
      <c r="B442" s="1">
        <v>45931</v>
      </c>
      <c r="C442" t="s">
        <v>13</v>
      </c>
      <c r="D442" t="s">
        <v>38</v>
      </c>
      <c r="E442" t="s">
        <v>26</v>
      </c>
      <c r="F442" t="s">
        <v>21</v>
      </c>
      <c r="G442" t="s">
        <v>27</v>
      </c>
      <c r="H442">
        <v>1</v>
      </c>
      <c r="I442">
        <v>354.93</v>
      </c>
      <c r="J442">
        <v>0</v>
      </c>
      <c r="K442">
        <v>354.93</v>
      </c>
      <c r="L442">
        <v>49.49</v>
      </c>
    </row>
    <row r="443" spans="1:12" x14ac:dyDescent="0.3">
      <c r="A443" t="s">
        <v>480</v>
      </c>
      <c r="B443" s="1">
        <v>45915</v>
      </c>
      <c r="C443" t="s">
        <v>13</v>
      </c>
      <c r="D443" t="s">
        <v>38</v>
      </c>
      <c r="E443" t="s">
        <v>15</v>
      </c>
      <c r="F443" t="s">
        <v>31</v>
      </c>
      <c r="G443" t="s">
        <v>55</v>
      </c>
      <c r="H443">
        <v>5</v>
      </c>
      <c r="I443">
        <v>386.16</v>
      </c>
      <c r="J443">
        <v>0.15</v>
      </c>
      <c r="K443">
        <v>1930.8</v>
      </c>
      <c r="L443">
        <v>150.32</v>
      </c>
    </row>
    <row r="444" spans="1:12" x14ac:dyDescent="0.3">
      <c r="A444" t="s">
        <v>481</v>
      </c>
      <c r="B444" s="1">
        <v>45996</v>
      </c>
      <c r="C444" t="s">
        <v>13</v>
      </c>
      <c r="D444" t="s">
        <v>14</v>
      </c>
      <c r="E444" t="s">
        <v>26</v>
      </c>
      <c r="F444" t="s">
        <v>31</v>
      </c>
      <c r="G444" t="s">
        <v>59</v>
      </c>
      <c r="H444">
        <v>3</v>
      </c>
      <c r="I444">
        <v>377.18</v>
      </c>
      <c r="J444">
        <v>0.2</v>
      </c>
      <c r="K444">
        <v>1131.54</v>
      </c>
      <c r="L444">
        <v>38.18</v>
      </c>
    </row>
    <row r="445" spans="1:12" x14ac:dyDescent="0.3">
      <c r="A445" t="s">
        <v>482</v>
      </c>
      <c r="B445" s="1">
        <v>45982</v>
      </c>
      <c r="C445" t="s">
        <v>24</v>
      </c>
      <c r="D445" t="s">
        <v>34</v>
      </c>
      <c r="E445" t="s">
        <v>26</v>
      </c>
      <c r="F445" t="s">
        <v>31</v>
      </c>
      <c r="G445" t="s">
        <v>55</v>
      </c>
      <c r="H445">
        <v>1</v>
      </c>
      <c r="I445">
        <v>283.45999999999998</v>
      </c>
      <c r="J445">
        <v>0.2</v>
      </c>
      <c r="K445">
        <v>283.45999999999998</v>
      </c>
      <c r="L445">
        <v>-1.32</v>
      </c>
    </row>
    <row r="446" spans="1:12" x14ac:dyDescent="0.3">
      <c r="A446" t="s">
        <v>483</v>
      </c>
      <c r="B446" s="1">
        <v>45679</v>
      </c>
      <c r="C446" t="s">
        <v>13</v>
      </c>
      <c r="D446" t="s">
        <v>38</v>
      </c>
      <c r="E446" t="s">
        <v>15</v>
      </c>
      <c r="F446" t="s">
        <v>21</v>
      </c>
      <c r="G446" t="s">
        <v>27</v>
      </c>
      <c r="H446">
        <v>5</v>
      </c>
      <c r="I446">
        <v>116.88</v>
      </c>
      <c r="J446">
        <v>0.1</v>
      </c>
      <c r="K446">
        <v>584.4</v>
      </c>
      <c r="L446">
        <v>33.86</v>
      </c>
    </row>
    <row r="447" spans="1:12" x14ac:dyDescent="0.3">
      <c r="A447" t="s">
        <v>484</v>
      </c>
      <c r="B447" s="1">
        <v>45988</v>
      </c>
      <c r="C447" t="s">
        <v>24</v>
      </c>
      <c r="D447" t="s">
        <v>29</v>
      </c>
      <c r="E447" t="s">
        <v>20</v>
      </c>
      <c r="F447" t="s">
        <v>16</v>
      </c>
      <c r="G447" t="s">
        <v>36</v>
      </c>
      <c r="H447">
        <v>4</v>
      </c>
      <c r="I447">
        <v>70.59</v>
      </c>
      <c r="J447">
        <v>0.2</v>
      </c>
      <c r="K447">
        <v>282.36</v>
      </c>
      <c r="L447">
        <v>48.87</v>
      </c>
    </row>
    <row r="448" spans="1:12" x14ac:dyDescent="0.3">
      <c r="A448" t="s">
        <v>485</v>
      </c>
      <c r="B448" s="1">
        <v>45939</v>
      </c>
      <c r="C448" t="s">
        <v>43</v>
      </c>
      <c r="D448" t="s">
        <v>29</v>
      </c>
      <c r="E448" t="s">
        <v>20</v>
      </c>
      <c r="F448" t="s">
        <v>21</v>
      </c>
      <c r="G448" t="s">
        <v>27</v>
      </c>
      <c r="H448">
        <v>2</v>
      </c>
      <c r="I448">
        <v>136.58000000000001</v>
      </c>
      <c r="J448">
        <v>0.05</v>
      </c>
      <c r="K448">
        <v>273.16000000000003</v>
      </c>
      <c r="L448">
        <v>57.06</v>
      </c>
    </row>
    <row r="449" spans="1:12" x14ac:dyDescent="0.3">
      <c r="A449" t="s">
        <v>486</v>
      </c>
      <c r="B449" s="1">
        <v>45907</v>
      </c>
      <c r="C449" t="s">
        <v>40</v>
      </c>
      <c r="D449" t="s">
        <v>14</v>
      </c>
      <c r="E449" t="s">
        <v>26</v>
      </c>
      <c r="F449" t="s">
        <v>31</v>
      </c>
      <c r="G449" t="s">
        <v>59</v>
      </c>
      <c r="H449">
        <v>2</v>
      </c>
      <c r="I449">
        <v>153.29</v>
      </c>
      <c r="J449">
        <v>0</v>
      </c>
      <c r="K449">
        <v>306.58</v>
      </c>
      <c r="L449">
        <v>84.32</v>
      </c>
    </row>
    <row r="450" spans="1:12" x14ac:dyDescent="0.3">
      <c r="A450" t="s">
        <v>487</v>
      </c>
      <c r="B450" s="1">
        <v>45820</v>
      </c>
      <c r="C450" t="s">
        <v>43</v>
      </c>
      <c r="D450" t="s">
        <v>29</v>
      </c>
      <c r="E450" t="s">
        <v>26</v>
      </c>
      <c r="F450" t="s">
        <v>31</v>
      </c>
      <c r="G450" t="s">
        <v>32</v>
      </c>
      <c r="H450">
        <v>3</v>
      </c>
      <c r="I450">
        <v>289.29000000000002</v>
      </c>
      <c r="J450">
        <v>0.1</v>
      </c>
      <c r="K450">
        <v>867.87</v>
      </c>
      <c r="L450">
        <v>179.58</v>
      </c>
    </row>
    <row r="451" spans="1:12" x14ac:dyDescent="0.3">
      <c r="A451" t="s">
        <v>488</v>
      </c>
      <c r="B451" s="1">
        <v>45877</v>
      </c>
      <c r="C451" t="s">
        <v>24</v>
      </c>
      <c r="D451" t="s">
        <v>14</v>
      </c>
      <c r="E451" t="s">
        <v>20</v>
      </c>
      <c r="F451" t="s">
        <v>16</v>
      </c>
      <c r="G451" t="s">
        <v>44</v>
      </c>
      <c r="H451">
        <v>7</v>
      </c>
      <c r="I451">
        <v>149.19</v>
      </c>
      <c r="J451">
        <v>0.1</v>
      </c>
      <c r="K451">
        <v>1044.33</v>
      </c>
      <c r="L451">
        <v>40.29</v>
      </c>
    </row>
    <row r="452" spans="1:12" x14ac:dyDescent="0.3">
      <c r="A452" t="s">
        <v>489</v>
      </c>
      <c r="B452" s="1">
        <v>45827</v>
      </c>
      <c r="C452" t="s">
        <v>43</v>
      </c>
      <c r="D452" t="s">
        <v>29</v>
      </c>
      <c r="E452" t="s">
        <v>15</v>
      </c>
      <c r="F452" t="s">
        <v>31</v>
      </c>
      <c r="G452" t="s">
        <v>32</v>
      </c>
      <c r="H452">
        <v>8</v>
      </c>
      <c r="I452">
        <v>282.56</v>
      </c>
      <c r="J452">
        <v>0.05</v>
      </c>
      <c r="K452">
        <v>2260.48</v>
      </c>
      <c r="L452">
        <v>426.98</v>
      </c>
    </row>
    <row r="453" spans="1:12" x14ac:dyDescent="0.3">
      <c r="A453" t="s">
        <v>490</v>
      </c>
      <c r="B453" s="1">
        <v>45699</v>
      </c>
      <c r="C453" t="s">
        <v>40</v>
      </c>
      <c r="D453" t="s">
        <v>29</v>
      </c>
      <c r="E453" t="s">
        <v>20</v>
      </c>
      <c r="F453" t="s">
        <v>16</v>
      </c>
      <c r="G453" t="s">
        <v>17</v>
      </c>
      <c r="H453">
        <v>2</v>
      </c>
      <c r="I453">
        <v>367.8</v>
      </c>
      <c r="J453">
        <v>0</v>
      </c>
      <c r="K453">
        <v>735.6</v>
      </c>
      <c r="L453">
        <v>193.02</v>
      </c>
    </row>
    <row r="454" spans="1:12" x14ac:dyDescent="0.3">
      <c r="A454" t="s">
        <v>491</v>
      </c>
      <c r="B454" s="1">
        <v>45981</v>
      </c>
      <c r="C454" t="s">
        <v>13</v>
      </c>
      <c r="D454" t="s">
        <v>14</v>
      </c>
      <c r="E454" t="s">
        <v>15</v>
      </c>
      <c r="F454" t="s">
        <v>21</v>
      </c>
      <c r="G454" t="s">
        <v>27</v>
      </c>
      <c r="H454">
        <v>1</v>
      </c>
      <c r="I454">
        <v>282.52</v>
      </c>
      <c r="J454">
        <v>0.2</v>
      </c>
      <c r="K454">
        <v>282.52</v>
      </c>
      <c r="L454">
        <v>51.84</v>
      </c>
    </row>
    <row r="455" spans="1:12" x14ac:dyDescent="0.3">
      <c r="A455" t="s">
        <v>492</v>
      </c>
      <c r="B455" s="1">
        <v>45934</v>
      </c>
      <c r="C455" t="s">
        <v>43</v>
      </c>
      <c r="D455" t="s">
        <v>25</v>
      </c>
      <c r="E455" t="s">
        <v>15</v>
      </c>
      <c r="F455" t="s">
        <v>21</v>
      </c>
      <c r="G455" t="s">
        <v>48</v>
      </c>
      <c r="H455">
        <v>4</v>
      </c>
      <c r="I455">
        <v>447.35</v>
      </c>
      <c r="J455">
        <v>0.2</v>
      </c>
      <c r="K455">
        <v>1789.4</v>
      </c>
      <c r="L455">
        <v>256.43</v>
      </c>
    </row>
    <row r="456" spans="1:12" x14ac:dyDescent="0.3">
      <c r="A456" t="s">
        <v>493</v>
      </c>
      <c r="B456" s="1">
        <v>45806</v>
      </c>
      <c r="C456" t="s">
        <v>24</v>
      </c>
      <c r="D456" t="s">
        <v>38</v>
      </c>
      <c r="E456" t="s">
        <v>26</v>
      </c>
      <c r="F456" t="s">
        <v>31</v>
      </c>
      <c r="G456" t="s">
        <v>55</v>
      </c>
      <c r="H456">
        <v>7</v>
      </c>
      <c r="I456">
        <v>191.47</v>
      </c>
      <c r="J456">
        <v>0</v>
      </c>
      <c r="K456">
        <v>1340.29</v>
      </c>
      <c r="L456">
        <v>289.06</v>
      </c>
    </row>
    <row r="457" spans="1:12" x14ac:dyDescent="0.3">
      <c r="A457" t="s">
        <v>494</v>
      </c>
      <c r="B457" s="1">
        <v>45972</v>
      </c>
      <c r="C457" t="s">
        <v>24</v>
      </c>
      <c r="D457" t="s">
        <v>66</v>
      </c>
      <c r="E457" t="s">
        <v>15</v>
      </c>
      <c r="F457" t="s">
        <v>21</v>
      </c>
      <c r="G457" t="s">
        <v>48</v>
      </c>
      <c r="H457">
        <v>3</v>
      </c>
      <c r="I457">
        <v>289.68</v>
      </c>
      <c r="J457">
        <v>0.2</v>
      </c>
      <c r="K457">
        <v>869.04</v>
      </c>
      <c r="L457">
        <v>108.5</v>
      </c>
    </row>
    <row r="458" spans="1:12" x14ac:dyDescent="0.3">
      <c r="A458" t="s">
        <v>495</v>
      </c>
      <c r="B458" s="1">
        <v>45732</v>
      </c>
      <c r="C458" t="s">
        <v>43</v>
      </c>
      <c r="D458" t="s">
        <v>46</v>
      </c>
      <c r="E458" t="s">
        <v>20</v>
      </c>
      <c r="F458" t="s">
        <v>31</v>
      </c>
      <c r="G458" t="s">
        <v>59</v>
      </c>
      <c r="H458">
        <v>4</v>
      </c>
      <c r="I458">
        <v>45.49</v>
      </c>
      <c r="J458">
        <v>0.1</v>
      </c>
      <c r="K458">
        <v>181.96</v>
      </c>
      <c r="L458">
        <v>11.56</v>
      </c>
    </row>
    <row r="459" spans="1:12" x14ac:dyDescent="0.3">
      <c r="A459" t="s">
        <v>496</v>
      </c>
      <c r="B459" s="1">
        <v>46000</v>
      </c>
      <c r="C459" t="s">
        <v>24</v>
      </c>
      <c r="D459" t="s">
        <v>46</v>
      </c>
      <c r="E459" t="s">
        <v>15</v>
      </c>
      <c r="F459" t="s">
        <v>21</v>
      </c>
      <c r="G459" t="s">
        <v>22</v>
      </c>
      <c r="H459">
        <v>8</v>
      </c>
      <c r="I459">
        <v>442.55</v>
      </c>
      <c r="J459">
        <v>0</v>
      </c>
      <c r="K459">
        <v>3540.4</v>
      </c>
      <c r="L459">
        <v>1044.94</v>
      </c>
    </row>
    <row r="460" spans="1:12" x14ac:dyDescent="0.3">
      <c r="A460" t="s">
        <v>497</v>
      </c>
      <c r="B460" s="1">
        <v>45823</v>
      </c>
      <c r="C460" t="s">
        <v>13</v>
      </c>
      <c r="D460" t="s">
        <v>29</v>
      </c>
      <c r="E460" t="s">
        <v>26</v>
      </c>
      <c r="F460" t="s">
        <v>21</v>
      </c>
      <c r="G460" t="s">
        <v>27</v>
      </c>
      <c r="H460">
        <v>5</v>
      </c>
      <c r="I460">
        <v>295.64</v>
      </c>
      <c r="J460">
        <v>0.2</v>
      </c>
      <c r="K460">
        <v>1478.2</v>
      </c>
      <c r="L460">
        <v>5.12</v>
      </c>
    </row>
    <row r="461" spans="1:12" x14ac:dyDescent="0.3">
      <c r="A461" t="s">
        <v>498</v>
      </c>
      <c r="B461" s="1">
        <v>45992</v>
      </c>
      <c r="C461" t="s">
        <v>43</v>
      </c>
      <c r="D461" t="s">
        <v>38</v>
      </c>
      <c r="E461" t="s">
        <v>26</v>
      </c>
      <c r="F461" t="s">
        <v>31</v>
      </c>
      <c r="G461" t="s">
        <v>55</v>
      </c>
      <c r="H461">
        <v>5</v>
      </c>
      <c r="I461">
        <v>197.52</v>
      </c>
      <c r="J461">
        <v>0.05</v>
      </c>
      <c r="K461">
        <v>987.6</v>
      </c>
      <c r="L461">
        <v>154.65</v>
      </c>
    </row>
    <row r="462" spans="1:12" x14ac:dyDescent="0.3">
      <c r="A462" t="s">
        <v>499</v>
      </c>
      <c r="B462" s="1">
        <v>45838</v>
      </c>
      <c r="C462" t="s">
        <v>40</v>
      </c>
      <c r="D462" t="s">
        <v>19</v>
      </c>
      <c r="E462" t="s">
        <v>26</v>
      </c>
      <c r="F462" t="s">
        <v>31</v>
      </c>
      <c r="G462" t="s">
        <v>32</v>
      </c>
      <c r="H462">
        <v>3</v>
      </c>
      <c r="I462">
        <v>228.35</v>
      </c>
      <c r="J462">
        <v>0.05</v>
      </c>
      <c r="K462">
        <v>685.05</v>
      </c>
      <c r="L462">
        <v>32.04</v>
      </c>
    </row>
    <row r="463" spans="1:12" x14ac:dyDescent="0.3">
      <c r="A463" t="s">
        <v>500</v>
      </c>
      <c r="B463" s="1">
        <v>45987</v>
      </c>
      <c r="C463" t="s">
        <v>40</v>
      </c>
      <c r="D463" t="s">
        <v>66</v>
      </c>
      <c r="E463" t="s">
        <v>20</v>
      </c>
      <c r="F463" t="s">
        <v>16</v>
      </c>
      <c r="G463" t="s">
        <v>36</v>
      </c>
      <c r="H463">
        <v>6</v>
      </c>
      <c r="I463">
        <v>306.98</v>
      </c>
      <c r="J463">
        <v>0</v>
      </c>
      <c r="K463">
        <v>1841.88</v>
      </c>
      <c r="L463">
        <v>396.52</v>
      </c>
    </row>
    <row r="464" spans="1:12" x14ac:dyDescent="0.3">
      <c r="A464" t="s">
        <v>501</v>
      </c>
      <c r="B464" s="1">
        <v>45870</v>
      </c>
      <c r="C464" t="s">
        <v>40</v>
      </c>
      <c r="D464" t="s">
        <v>46</v>
      </c>
      <c r="E464" t="s">
        <v>15</v>
      </c>
      <c r="F464" t="s">
        <v>21</v>
      </c>
      <c r="G464" t="s">
        <v>48</v>
      </c>
      <c r="H464">
        <v>8</v>
      </c>
      <c r="I464">
        <v>117.19</v>
      </c>
      <c r="J464">
        <v>0.05</v>
      </c>
      <c r="K464">
        <v>937.52</v>
      </c>
      <c r="L464">
        <v>177.49</v>
      </c>
    </row>
    <row r="465" spans="1:12" x14ac:dyDescent="0.3">
      <c r="A465" t="s">
        <v>502</v>
      </c>
      <c r="B465" s="1">
        <v>45868</v>
      </c>
      <c r="C465" t="s">
        <v>13</v>
      </c>
      <c r="D465" t="s">
        <v>66</v>
      </c>
      <c r="E465" t="s">
        <v>20</v>
      </c>
      <c r="F465" t="s">
        <v>16</v>
      </c>
      <c r="G465" t="s">
        <v>36</v>
      </c>
      <c r="H465">
        <v>3</v>
      </c>
      <c r="I465">
        <v>320.33</v>
      </c>
      <c r="J465">
        <v>0</v>
      </c>
      <c r="K465">
        <v>960.99</v>
      </c>
      <c r="L465">
        <v>262.06</v>
      </c>
    </row>
    <row r="466" spans="1:12" x14ac:dyDescent="0.3">
      <c r="A466" t="s">
        <v>503</v>
      </c>
      <c r="B466" s="1">
        <v>45733</v>
      </c>
      <c r="C466" t="s">
        <v>13</v>
      </c>
      <c r="D466" t="s">
        <v>25</v>
      </c>
      <c r="E466" t="s">
        <v>20</v>
      </c>
      <c r="F466" t="s">
        <v>16</v>
      </c>
      <c r="G466" t="s">
        <v>44</v>
      </c>
      <c r="H466">
        <v>1</v>
      </c>
      <c r="I466">
        <v>441.08</v>
      </c>
      <c r="J466">
        <v>0.1</v>
      </c>
      <c r="K466">
        <v>441.08</v>
      </c>
      <c r="L466">
        <v>106.66</v>
      </c>
    </row>
    <row r="467" spans="1:12" x14ac:dyDescent="0.3">
      <c r="A467" t="s">
        <v>504</v>
      </c>
      <c r="B467" s="1">
        <v>45768</v>
      </c>
      <c r="C467" t="s">
        <v>43</v>
      </c>
      <c r="D467" t="s">
        <v>66</v>
      </c>
      <c r="E467" t="s">
        <v>15</v>
      </c>
      <c r="F467" t="s">
        <v>21</v>
      </c>
      <c r="G467" t="s">
        <v>22</v>
      </c>
      <c r="H467">
        <v>4</v>
      </c>
      <c r="I467">
        <v>417.73</v>
      </c>
      <c r="J467">
        <v>0.2</v>
      </c>
      <c r="K467">
        <v>1670.92</v>
      </c>
      <c r="L467">
        <v>-7.22</v>
      </c>
    </row>
    <row r="468" spans="1:12" x14ac:dyDescent="0.3">
      <c r="A468" t="s">
        <v>505</v>
      </c>
      <c r="B468" s="1">
        <v>45956</v>
      </c>
      <c r="C468" t="s">
        <v>24</v>
      </c>
      <c r="D468" t="s">
        <v>29</v>
      </c>
      <c r="E468" t="s">
        <v>26</v>
      </c>
      <c r="F468" t="s">
        <v>21</v>
      </c>
      <c r="G468" t="s">
        <v>27</v>
      </c>
      <c r="H468">
        <v>3</v>
      </c>
      <c r="I468">
        <v>366.23</v>
      </c>
      <c r="J468">
        <v>0.1</v>
      </c>
      <c r="K468">
        <v>1098.69</v>
      </c>
      <c r="L468">
        <v>258.83999999999997</v>
      </c>
    </row>
    <row r="469" spans="1:12" x14ac:dyDescent="0.3">
      <c r="A469" t="s">
        <v>506</v>
      </c>
      <c r="B469" s="1">
        <v>45963</v>
      </c>
      <c r="C469" t="s">
        <v>13</v>
      </c>
      <c r="D469" t="s">
        <v>66</v>
      </c>
      <c r="E469" t="s">
        <v>15</v>
      </c>
      <c r="F469" t="s">
        <v>16</v>
      </c>
      <c r="G469" t="s">
        <v>44</v>
      </c>
      <c r="H469">
        <v>2</v>
      </c>
      <c r="I469">
        <v>23.03</v>
      </c>
      <c r="J469">
        <v>0.2</v>
      </c>
      <c r="K469">
        <v>46.06</v>
      </c>
      <c r="L469">
        <v>8.06</v>
      </c>
    </row>
    <row r="470" spans="1:12" x14ac:dyDescent="0.3">
      <c r="A470" t="s">
        <v>507</v>
      </c>
      <c r="B470" s="1">
        <v>45916</v>
      </c>
      <c r="C470" t="s">
        <v>43</v>
      </c>
      <c r="D470" t="s">
        <v>66</v>
      </c>
      <c r="E470" t="s">
        <v>20</v>
      </c>
      <c r="F470" t="s">
        <v>16</v>
      </c>
      <c r="G470" t="s">
        <v>17</v>
      </c>
      <c r="H470">
        <v>8</v>
      </c>
      <c r="I470">
        <v>452.28</v>
      </c>
      <c r="J470">
        <v>0.2</v>
      </c>
      <c r="K470">
        <v>3618.24</v>
      </c>
      <c r="L470">
        <v>-109.42</v>
      </c>
    </row>
    <row r="471" spans="1:12" x14ac:dyDescent="0.3">
      <c r="A471" t="s">
        <v>508</v>
      </c>
      <c r="B471" s="1">
        <v>45930</v>
      </c>
      <c r="C471" t="s">
        <v>13</v>
      </c>
      <c r="D471" t="s">
        <v>66</v>
      </c>
      <c r="E471" t="s">
        <v>26</v>
      </c>
      <c r="F471" t="s">
        <v>16</v>
      </c>
      <c r="G471" t="s">
        <v>44</v>
      </c>
      <c r="H471">
        <v>1</v>
      </c>
      <c r="I471">
        <v>450.03</v>
      </c>
      <c r="J471">
        <v>0.15</v>
      </c>
      <c r="K471">
        <v>450.03</v>
      </c>
      <c r="L471">
        <v>50.86</v>
      </c>
    </row>
    <row r="472" spans="1:12" x14ac:dyDescent="0.3">
      <c r="A472" t="s">
        <v>509</v>
      </c>
      <c r="B472" s="1">
        <v>45847</v>
      </c>
      <c r="C472" t="s">
        <v>13</v>
      </c>
      <c r="D472" t="s">
        <v>14</v>
      </c>
      <c r="E472" t="s">
        <v>15</v>
      </c>
      <c r="F472" t="s">
        <v>21</v>
      </c>
      <c r="G472" t="s">
        <v>27</v>
      </c>
      <c r="H472">
        <v>8</v>
      </c>
      <c r="I472">
        <v>397.93</v>
      </c>
      <c r="J472">
        <v>0.15</v>
      </c>
      <c r="K472">
        <v>3183.44</v>
      </c>
      <c r="L472">
        <v>223.25</v>
      </c>
    </row>
    <row r="473" spans="1:12" x14ac:dyDescent="0.3">
      <c r="A473" t="s">
        <v>510</v>
      </c>
      <c r="B473" s="1">
        <v>46014</v>
      </c>
      <c r="C473" t="s">
        <v>13</v>
      </c>
      <c r="D473" t="s">
        <v>46</v>
      </c>
      <c r="E473" t="s">
        <v>15</v>
      </c>
      <c r="F473" t="s">
        <v>31</v>
      </c>
      <c r="G473" t="s">
        <v>59</v>
      </c>
      <c r="H473">
        <v>4</v>
      </c>
      <c r="I473">
        <v>456.39</v>
      </c>
      <c r="J473">
        <v>0</v>
      </c>
      <c r="K473">
        <v>1825.56</v>
      </c>
      <c r="L473">
        <v>220.56</v>
      </c>
    </row>
    <row r="474" spans="1:12" x14ac:dyDescent="0.3">
      <c r="A474" t="s">
        <v>511</v>
      </c>
      <c r="B474" s="1">
        <v>45936</v>
      </c>
      <c r="C474" t="s">
        <v>43</v>
      </c>
      <c r="D474" t="s">
        <v>19</v>
      </c>
      <c r="E474" t="s">
        <v>20</v>
      </c>
      <c r="F474" t="s">
        <v>31</v>
      </c>
      <c r="G474" t="s">
        <v>59</v>
      </c>
      <c r="H474">
        <v>2</v>
      </c>
      <c r="I474">
        <v>267.08</v>
      </c>
      <c r="J474">
        <v>0.15</v>
      </c>
      <c r="K474">
        <v>534.16</v>
      </c>
      <c r="L474">
        <v>78.06</v>
      </c>
    </row>
    <row r="475" spans="1:12" x14ac:dyDescent="0.3">
      <c r="A475" t="s">
        <v>512</v>
      </c>
      <c r="B475" s="1">
        <v>46010</v>
      </c>
      <c r="C475" t="s">
        <v>40</v>
      </c>
      <c r="D475" t="s">
        <v>66</v>
      </c>
      <c r="E475" t="s">
        <v>20</v>
      </c>
      <c r="F475" t="s">
        <v>31</v>
      </c>
      <c r="G475" t="s">
        <v>32</v>
      </c>
      <c r="H475">
        <v>7</v>
      </c>
      <c r="I475">
        <v>331.01</v>
      </c>
      <c r="J475">
        <v>0.1</v>
      </c>
      <c r="K475">
        <v>2317.0700000000002</v>
      </c>
      <c r="L475">
        <v>162.94999999999999</v>
      </c>
    </row>
    <row r="476" spans="1:12" x14ac:dyDescent="0.3">
      <c r="A476" t="s">
        <v>513</v>
      </c>
      <c r="B476" s="1">
        <v>45932</v>
      </c>
      <c r="C476" t="s">
        <v>43</v>
      </c>
      <c r="D476" t="s">
        <v>29</v>
      </c>
      <c r="E476" t="s">
        <v>26</v>
      </c>
      <c r="F476" t="s">
        <v>21</v>
      </c>
      <c r="G476" t="s">
        <v>22</v>
      </c>
      <c r="H476">
        <v>7</v>
      </c>
      <c r="I476">
        <v>381.16</v>
      </c>
      <c r="J476">
        <v>0.15</v>
      </c>
      <c r="K476">
        <v>2668.12</v>
      </c>
      <c r="L476">
        <v>321.58</v>
      </c>
    </row>
    <row r="477" spans="1:12" x14ac:dyDescent="0.3">
      <c r="A477" t="s">
        <v>514</v>
      </c>
      <c r="B477" s="1">
        <v>45943</v>
      </c>
      <c r="C477" t="s">
        <v>43</v>
      </c>
      <c r="D477" t="s">
        <v>46</v>
      </c>
      <c r="E477" t="s">
        <v>26</v>
      </c>
      <c r="F477" t="s">
        <v>16</v>
      </c>
      <c r="G477" t="s">
        <v>44</v>
      </c>
      <c r="H477">
        <v>5</v>
      </c>
      <c r="I477">
        <v>494.43</v>
      </c>
      <c r="J477">
        <v>0.2</v>
      </c>
      <c r="K477">
        <v>2472.15</v>
      </c>
      <c r="L477">
        <v>113.94</v>
      </c>
    </row>
    <row r="478" spans="1:12" x14ac:dyDescent="0.3">
      <c r="A478" t="s">
        <v>515</v>
      </c>
      <c r="B478" s="1">
        <v>46019</v>
      </c>
      <c r="C478" t="s">
        <v>43</v>
      </c>
      <c r="D478" t="s">
        <v>38</v>
      </c>
      <c r="E478" t="s">
        <v>26</v>
      </c>
      <c r="F478" t="s">
        <v>21</v>
      </c>
      <c r="G478" t="s">
        <v>48</v>
      </c>
      <c r="H478">
        <v>4</v>
      </c>
      <c r="I478">
        <v>231.6</v>
      </c>
      <c r="J478">
        <v>0.05</v>
      </c>
      <c r="K478">
        <v>926.4</v>
      </c>
      <c r="L478">
        <v>48.7</v>
      </c>
    </row>
    <row r="479" spans="1:12" x14ac:dyDescent="0.3">
      <c r="A479" t="s">
        <v>516</v>
      </c>
      <c r="B479" s="1">
        <v>45918</v>
      </c>
      <c r="C479" t="s">
        <v>43</v>
      </c>
      <c r="D479" t="s">
        <v>19</v>
      </c>
      <c r="E479" t="s">
        <v>26</v>
      </c>
      <c r="F479" t="s">
        <v>31</v>
      </c>
      <c r="G479" t="s">
        <v>55</v>
      </c>
      <c r="H479">
        <v>3</v>
      </c>
      <c r="I479">
        <v>203.72</v>
      </c>
      <c r="J479">
        <v>0</v>
      </c>
      <c r="K479">
        <v>611.16</v>
      </c>
      <c r="L479">
        <v>153.46</v>
      </c>
    </row>
    <row r="480" spans="1:12" x14ac:dyDescent="0.3">
      <c r="A480" t="s">
        <v>517</v>
      </c>
      <c r="B480" s="1">
        <v>45732</v>
      </c>
      <c r="C480" t="s">
        <v>43</v>
      </c>
      <c r="D480" t="s">
        <v>38</v>
      </c>
      <c r="E480" t="s">
        <v>20</v>
      </c>
      <c r="F480" t="s">
        <v>21</v>
      </c>
      <c r="G480" t="s">
        <v>22</v>
      </c>
      <c r="H480">
        <v>5</v>
      </c>
      <c r="I480">
        <v>122.56</v>
      </c>
      <c r="J480">
        <v>0</v>
      </c>
      <c r="K480">
        <v>612.79999999999995</v>
      </c>
      <c r="L480">
        <v>123.94</v>
      </c>
    </row>
    <row r="481" spans="1:12" x14ac:dyDescent="0.3">
      <c r="A481" t="s">
        <v>518</v>
      </c>
      <c r="B481" s="1">
        <v>45854</v>
      </c>
      <c r="C481" t="s">
        <v>43</v>
      </c>
      <c r="D481" t="s">
        <v>29</v>
      </c>
      <c r="E481" t="s">
        <v>26</v>
      </c>
      <c r="F481" t="s">
        <v>21</v>
      </c>
      <c r="G481" t="s">
        <v>27</v>
      </c>
      <c r="H481">
        <v>1</v>
      </c>
      <c r="I481">
        <v>473.67</v>
      </c>
      <c r="J481">
        <v>0.05</v>
      </c>
      <c r="K481">
        <v>473.67</v>
      </c>
      <c r="L481">
        <v>88.85</v>
      </c>
    </row>
    <row r="482" spans="1:12" x14ac:dyDescent="0.3">
      <c r="A482" t="s">
        <v>519</v>
      </c>
      <c r="B482" s="1">
        <v>45882</v>
      </c>
      <c r="C482" t="s">
        <v>13</v>
      </c>
      <c r="D482" t="s">
        <v>29</v>
      </c>
      <c r="E482" t="s">
        <v>26</v>
      </c>
      <c r="F482" t="s">
        <v>16</v>
      </c>
      <c r="G482" t="s">
        <v>17</v>
      </c>
      <c r="H482">
        <v>4</v>
      </c>
      <c r="I482">
        <v>31.3</v>
      </c>
      <c r="J482">
        <v>0.2</v>
      </c>
      <c r="K482">
        <v>125.2</v>
      </c>
      <c r="L482">
        <v>10.97</v>
      </c>
    </row>
    <row r="483" spans="1:12" x14ac:dyDescent="0.3">
      <c r="A483" t="s">
        <v>520</v>
      </c>
      <c r="B483" s="1">
        <v>46015</v>
      </c>
      <c r="C483" t="s">
        <v>24</v>
      </c>
      <c r="D483" t="s">
        <v>19</v>
      </c>
      <c r="E483" t="s">
        <v>26</v>
      </c>
      <c r="F483" t="s">
        <v>21</v>
      </c>
      <c r="G483" t="s">
        <v>48</v>
      </c>
      <c r="H483">
        <v>6</v>
      </c>
      <c r="I483">
        <v>131.04</v>
      </c>
      <c r="J483">
        <v>0</v>
      </c>
      <c r="K483">
        <v>786.24</v>
      </c>
      <c r="L483">
        <v>231.08</v>
      </c>
    </row>
    <row r="484" spans="1:12" x14ac:dyDescent="0.3">
      <c r="A484" t="s">
        <v>521</v>
      </c>
      <c r="B484" s="1">
        <v>45702</v>
      </c>
      <c r="C484" t="s">
        <v>40</v>
      </c>
      <c r="D484" t="s">
        <v>25</v>
      </c>
      <c r="E484" t="s">
        <v>26</v>
      </c>
      <c r="F484" t="s">
        <v>31</v>
      </c>
      <c r="G484" t="s">
        <v>32</v>
      </c>
      <c r="H484">
        <v>7</v>
      </c>
      <c r="I484">
        <v>299.25</v>
      </c>
      <c r="J484">
        <v>0.2</v>
      </c>
      <c r="K484">
        <v>2094.75</v>
      </c>
      <c r="L484">
        <v>-75.739999999999995</v>
      </c>
    </row>
    <row r="485" spans="1:12" x14ac:dyDescent="0.3">
      <c r="A485" t="s">
        <v>522</v>
      </c>
      <c r="B485" s="1">
        <v>46018</v>
      </c>
      <c r="C485" t="s">
        <v>13</v>
      </c>
      <c r="D485" t="s">
        <v>34</v>
      </c>
      <c r="E485" t="s">
        <v>15</v>
      </c>
      <c r="F485" t="s">
        <v>16</v>
      </c>
      <c r="G485" t="s">
        <v>17</v>
      </c>
      <c r="H485">
        <v>6</v>
      </c>
      <c r="I485">
        <v>482.19</v>
      </c>
      <c r="J485">
        <v>0.1</v>
      </c>
      <c r="K485">
        <v>2893.14</v>
      </c>
      <c r="L485">
        <v>178.14</v>
      </c>
    </row>
    <row r="486" spans="1:12" x14ac:dyDescent="0.3">
      <c r="A486" t="s">
        <v>523</v>
      </c>
      <c r="B486" s="1">
        <v>45757</v>
      </c>
      <c r="C486" t="s">
        <v>43</v>
      </c>
      <c r="D486" t="s">
        <v>29</v>
      </c>
      <c r="E486" t="s">
        <v>20</v>
      </c>
      <c r="F486" t="s">
        <v>31</v>
      </c>
      <c r="G486" t="s">
        <v>55</v>
      </c>
      <c r="H486">
        <v>3</v>
      </c>
      <c r="I486">
        <v>212.46</v>
      </c>
      <c r="J486">
        <v>0</v>
      </c>
      <c r="K486">
        <v>637.38</v>
      </c>
      <c r="L486">
        <v>120.88</v>
      </c>
    </row>
    <row r="487" spans="1:12" x14ac:dyDescent="0.3">
      <c r="A487" t="s">
        <v>524</v>
      </c>
      <c r="B487" s="1">
        <v>45915</v>
      </c>
      <c r="C487" t="s">
        <v>40</v>
      </c>
      <c r="D487" t="s">
        <v>29</v>
      </c>
      <c r="E487" t="s">
        <v>26</v>
      </c>
      <c r="F487" t="s">
        <v>31</v>
      </c>
      <c r="G487" t="s">
        <v>59</v>
      </c>
      <c r="H487">
        <v>5</v>
      </c>
      <c r="I487">
        <v>351.68</v>
      </c>
      <c r="J487">
        <v>0.15</v>
      </c>
      <c r="K487">
        <v>1758.4</v>
      </c>
      <c r="L487">
        <v>216.8</v>
      </c>
    </row>
    <row r="488" spans="1:12" x14ac:dyDescent="0.3">
      <c r="A488" t="s">
        <v>525</v>
      </c>
      <c r="B488" s="1">
        <v>45782</v>
      </c>
      <c r="C488" t="s">
        <v>40</v>
      </c>
      <c r="D488" t="s">
        <v>19</v>
      </c>
      <c r="E488" t="s">
        <v>15</v>
      </c>
      <c r="F488" t="s">
        <v>31</v>
      </c>
      <c r="G488" t="s">
        <v>55</v>
      </c>
      <c r="H488">
        <v>8</v>
      </c>
      <c r="I488">
        <v>71.39</v>
      </c>
      <c r="J488">
        <v>0</v>
      </c>
      <c r="K488">
        <v>571.12</v>
      </c>
      <c r="L488">
        <v>83.19</v>
      </c>
    </row>
    <row r="489" spans="1:12" x14ac:dyDescent="0.3">
      <c r="A489" t="s">
        <v>526</v>
      </c>
      <c r="B489" s="1">
        <v>45770</v>
      </c>
      <c r="C489" t="s">
        <v>24</v>
      </c>
      <c r="D489" t="s">
        <v>19</v>
      </c>
      <c r="E489" t="s">
        <v>15</v>
      </c>
      <c r="F489" t="s">
        <v>31</v>
      </c>
      <c r="G489" t="s">
        <v>32</v>
      </c>
      <c r="H489">
        <v>5</v>
      </c>
      <c r="I489">
        <v>135.4</v>
      </c>
      <c r="J489">
        <v>0</v>
      </c>
      <c r="K489">
        <v>677</v>
      </c>
      <c r="L489">
        <v>101.37</v>
      </c>
    </row>
    <row r="490" spans="1:12" x14ac:dyDescent="0.3">
      <c r="A490" t="s">
        <v>527</v>
      </c>
      <c r="B490" s="1">
        <v>45833</v>
      </c>
      <c r="C490" t="s">
        <v>13</v>
      </c>
      <c r="D490" t="s">
        <v>34</v>
      </c>
      <c r="E490" t="s">
        <v>15</v>
      </c>
      <c r="F490" t="s">
        <v>21</v>
      </c>
      <c r="G490" t="s">
        <v>48</v>
      </c>
      <c r="H490">
        <v>6</v>
      </c>
      <c r="I490">
        <v>121</v>
      </c>
      <c r="J490">
        <v>0.2</v>
      </c>
      <c r="K490">
        <v>726</v>
      </c>
      <c r="L490">
        <v>19.8</v>
      </c>
    </row>
    <row r="491" spans="1:12" x14ac:dyDescent="0.3">
      <c r="A491" t="s">
        <v>528</v>
      </c>
      <c r="B491" s="1">
        <v>46007</v>
      </c>
      <c r="C491" t="s">
        <v>24</v>
      </c>
      <c r="D491" t="s">
        <v>14</v>
      </c>
      <c r="E491" t="s">
        <v>20</v>
      </c>
      <c r="F491" t="s">
        <v>31</v>
      </c>
      <c r="G491" t="s">
        <v>55</v>
      </c>
      <c r="H491">
        <v>4</v>
      </c>
      <c r="I491">
        <v>438.28</v>
      </c>
      <c r="J491">
        <v>0.05</v>
      </c>
      <c r="K491">
        <v>1753.12</v>
      </c>
      <c r="L491">
        <v>148.66999999999999</v>
      </c>
    </row>
    <row r="492" spans="1:12" x14ac:dyDescent="0.3">
      <c r="A492" t="s">
        <v>529</v>
      </c>
      <c r="B492" s="1">
        <v>45785</v>
      </c>
      <c r="C492" t="s">
        <v>40</v>
      </c>
      <c r="D492" t="s">
        <v>38</v>
      </c>
      <c r="E492" t="s">
        <v>20</v>
      </c>
      <c r="F492" t="s">
        <v>16</v>
      </c>
      <c r="G492" t="s">
        <v>36</v>
      </c>
      <c r="H492">
        <v>8</v>
      </c>
      <c r="I492">
        <v>312.70999999999998</v>
      </c>
      <c r="J492">
        <v>0.2</v>
      </c>
      <c r="K492">
        <v>2501.6799999999998</v>
      </c>
      <c r="L492">
        <v>499.08</v>
      </c>
    </row>
    <row r="493" spans="1:12" x14ac:dyDescent="0.3">
      <c r="A493" t="s">
        <v>530</v>
      </c>
      <c r="B493" s="1">
        <v>45904</v>
      </c>
      <c r="C493" t="s">
        <v>40</v>
      </c>
      <c r="D493" t="s">
        <v>29</v>
      </c>
      <c r="E493" t="s">
        <v>15</v>
      </c>
      <c r="F493" t="s">
        <v>21</v>
      </c>
      <c r="G493" t="s">
        <v>22</v>
      </c>
      <c r="H493">
        <v>8</v>
      </c>
      <c r="I493">
        <v>103.69</v>
      </c>
      <c r="J493">
        <v>0.2</v>
      </c>
      <c r="K493">
        <v>829.52</v>
      </c>
      <c r="L493">
        <v>24.94</v>
      </c>
    </row>
    <row r="494" spans="1:12" x14ac:dyDescent="0.3">
      <c r="A494" t="s">
        <v>531</v>
      </c>
      <c r="B494" s="1">
        <v>45771</v>
      </c>
      <c r="C494" t="s">
        <v>24</v>
      </c>
      <c r="D494" t="s">
        <v>46</v>
      </c>
      <c r="E494" t="s">
        <v>15</v>
      </c>
      <c r="F494" t="s">
        <v>16</v>
      </c>
      <c r="G494" t="s">
        <v>17</v>
      </c>
      <c r="H494">
        <v>1</v>
      </c>
      <c r="I494">
        <v>258.7</v>
      </c>
      <c r="J494">
        <v>0.15</v>
      </c>
      <c r="K494">
        <v>258.7</v>
      </c>
      <c r="L494">
        <v>51.12</v>
      </c>
    </row>
    <row r="495" spans="1:12" x14ac:dyDescent="0.3">
      <c r="A495" t="s">
        <v>532</v>
      </c>
      <c r="B495" s="1">
        <v>45747</v>
      </c>
      <c r="C495" t="s">
        <v>43</v>
      </c>
      <c r="D495" t="s">
        <v>46</v>
      </c>
      <c r="E495" t="s">
        <v>26</v>
      </c>
      <c r="F495" t="s">
        <v>16</v>
      </c>
      <c r="G495" t="s">
        <v>17</v>
      </c>
      <c r="H495">
        <v>6</v>
      </c>
      <c r="I495">
        <v>349.27</v>
      </c>
      <c r="J495">
        <v>0</v>
      </c>
      <c r="K495">
        <v>2095.62</v>
      </c>
      <c r="L495">
        <v>457.95</v>
      </c>
    </row>
    <row r="496" spans="1:12" x14ac:dyDescent="0.3">
      <c r="A496" t="s">
        <v>533</v>
      </c>
      <c r="B496" s="1">
        <v>45852</v>
      </c>
      <c r="C496" t="s">
        <v>13</v>
      </c>
      <c r="D496" t="s">
        <v>29</v>
      </c>
      <c r="E496" t="s">
        <v>26</v>
      </c>
      <c r="F496" t="s">
        <v>31</v>
      </c>
      <c r="G496" t="s">
        <v>32</v>
      </c>
      <c r="H496">
        <v>3</v>
      </c>
      <c r="I496">
        <v>281.05</v>
      </c>
      <c r="J496">
        <v>0.05</v>
      </c>
      <c r="K496">
        <v>843.15</v>
      </c>
      <c r="L496">
        <v>79.97</v>
      </c>
    </row>
    <row r="497" spans="1:12" x14ac:dyDescent="0.3">
      <c r="A497" t="s">
        <v>534</v>
      </c>
      <c r="B497" s="1">
        <v>45971</v>
      </c>
      <c r="C497" t="s">
        <v>40</v>
      </c>
      <c r="D497" t="s">
        <v>25</v>
      </c>
      <c r="E497" t="s">
        <v>15</v>
      </c>
      <c r="F497" t="s">
        <v>31</v>
      </c>
      <c r="G497" t="s">
        <v>59</v>
      </c>
      <c r="H497">
        <v>4</v>
      </c>
      <c r="I497">
        <v>218.26</v>
      </c>
      <c r="J497">
        <v>0.1</v>
      </c>
      <c r="K497">
        <v>873.04</v>
      </c>
      <c r="L497">
        <v>84.05</v>
      </c>
    </row>
    <row r="498" spans="1:12" x14ac:dyDescent="0.3">
      <c r="A498" t="s">
        <v>535</v>
      </c>
      <c r="B498" s="1">
        <v>45863</v>
      </c>
      <c r="C498" t="s">
        <v>40</v>
      </c>
      <c r="D498" t="s">
        <v>66</v>
      </c>
      <c r="E498" t="s">
        <v>26</v>
      </c>
      <c r="F498" t="s">
        <v>31</v>
      </c>
      <c r="G498" t="s">
        <v>59</v>
      </c>
      <c r="H498">
        <v>4</v>
      </c>
      <c r="I498">
        <v>409.88</v>
      </c>
      <c r="J498">
        <v>0.1</v>
      </c>
      <c r="K498">
        <v>1639.52</v>
      </c>
      <c r="L498">
        <v>337.78</v>
      </c>
    </row>
    <row r="499" spans="1:12" x14ac:dyDescent="0.3">
      <c r="A499" t="s">
        <v>536</v>
      </c>
      <c r="B499" s="1">
        <v>45942</v>
      </c>
      <c r="C499" t="s">
        <v>43</v>
      </c>
      <c r="D499" t="s">
        <v>66</v>
      </c>
      <c r="E499" t="s">
        <v>20</v>
      </c>
      <c r="F499" t="s">
        <v>31</v>
      </c>
      <c r="G499" t="s">
        <v>59</v>
      </c>
      <c r="H499">
        <v>8</v>
      </c>
      <c r="I499">
        <v>405.75</v>
      </c>
      <c r="J499">
        <v>0.05</v>
      </c>
      <c r="K499">
        <v>3246</v>
      </c>
      <c r="L499">
        <v>431.33</v>
      </c>
    </row>
    <row r="500" spans="1:12" x14ac:dyDescent="0.3">
      <c r="A500" t="s">
        <v>537</v>
      </c>
      <c r="B500" s="1">
        <v>45726</v>
      </c>
      <c r="C500" t="s">
        <v>40</v>
      </c>
      <c r="D500" t="s">
        <v>19</v>
      </c>
      <c r="E500" t="s">
        <v>15</v>
      </c>
      <c r="F500" t="s">
        <v>31</v>
      </c>
      <c r="G500" t="s">
        <v>32</v>
      </c>
      <c r="H500">
        <v>7</v>
      </c>
      <c r="I500">
        <v>63</v>
      </c>
      <c r="J500">
        <v>0.05</v>
      </c>
      <c r="K500">
        <v>441</v>
      </c>
      <c r="L500">
        <v>18.75</v>
      </c>
    </row>
    <row r="501" spans="1:12" x14ac:dyDescent="0.3">
      <c r="A501" t="s">
        <v>538</v>
      </c>
      <c r="B501" s="1">
        <v>45788</v>
      </c>
      <c r="C501" t="s">
        <v>43</v>
      </c>
      <c r="D501" t="s">
        <v>34</v>
      </c>
      <c r="E501" t="s">
        <v>15</v>
      </c>
      <c r="F501" t="s">
        <v>21</v>
      </c>
      <c r="G501" t="s">
        <v>48</v>
      </c>
      <c r="H501">
        <v>5</v>
      </c>
      <c r="I501">
        <v>190.07</v>
      </c>
      <c r="J501">
        <v>0.2</v>
      </c>
      <c r="K501">
        <v>950.35</v>
      </c>
      <c r="L501">
        <v>94.44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8CA9-4974-44DC-B6F1-001158A57016}">
  <dimension ref="A1:B10"/>
  <sheetViews>
    <sheetView workbookViewId="0">
      <selection activeCell="D5" sqref="D5"/>
    </sheetView>
  </sheetViews>
  <sheetFormatPr defaultRowHeight="14.4" x14ac:dyDescent="0.3"/>
  <cols>
    <col min="1" max="1" width="15.77734375" bestFit="1" customWidth="1"/>
    <col min="2" max="2" width="15.21875" customWidth="1"/>
  </cols>
  <sheetData>
    <row r="1" spans="1:2" x14ac:dyDescent="0.3">
      <c r="A1" s="3" t="s">
        <v>539</v>
      </c>
      <c r="B1" s="3" t="s">
        <v>540</v>
      </c>
    </row>
    <row r="2" spans="1:2" x14ac:dyDescent="0.3">
      <c r="A2" t="s">
        <v>541</v>
      </c>
      <c r="B2">
        <f>SUM(SalesData[Sales])</f>
        <v>569721.64999999979</v>
      </c>
    </row>
    <row r="3" spans="1:2" x14ac:dyDescent="0.3">
      <c r="A3" t="s">
        <v>542</v>
      </c>
      <c r="B3">
        <f>SUM(SalesData[Profit])</f>
        <v>68230.420000000027</v>
      </c>
    </row>
    <row r="4" spans="1:2" x14ac:dyDescent="0.3">
      <c r="A4" t="s">
        <v>543</v>
      </c>
      <c r="B4">
        <f>SUM(SalesData[Quantity])</f>
        <v>2232</v>
      </c>
    </row>
    <row r="5" spans="1:2" x14ac:dyDescent="0.3">
      <c r="A5" t="s">
        <v>544</v>
      </c>
      <c r="B5">
        <f>AVERAGE(SalesData[Sales])</f>
        <v>1139.4432999999997</v>
      </c>
    </row>
    <row r="6" spans="1:2" x14ac:dyDescent="0.3">
      <c r="A6" t="s">
        <v>545</v>
      </c>
      <c r="B6">
        <f>AVERAGE(SalesData[Profit])</f>
        <v>136.46084000000005</v>
      </c>
    </row>
    <row r="7" spans="1:2" x14ac:dyDescent="0.3">
      <c r="A7" t="s">
        <v>546</v>
      </c>
      <c r="B7" s="4">
        <f>AVERAGE(SalesData[Discount])</f>
        <v>9.9200000000000038E-2</v>
      </c>
    </row>
    <row r="8" spans="1:2" x14ac:dyDescent="0.3">
      <c r="A8" t="s">
        <v>547</v>
      </c>
      <c r="B8" s="4">
        <f>B3/B2</f>
        <v>0.11976097450395302</v>
      </c>
    </row>
    <row r="9" spans="1:2" x14ac:dyDescent="0.3">
      <c r="A9" t="s">
        <v>548</v>
      </c>
      <c r="B9">
        <f>COUNTA(SalesData[Order ID])</f>
        <v>500</v>
      </c>
    </row>
    <row r="10" spans="1:2" x14ac:dyDescent="0.3">
      <c r="B10" t="s">
        <v>549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D277C-A31D-4F90-9156-D3D9AE53D9D9}">
  <dimension ref="A1:P72"/>
  <sheetViews>
    <sheetView tabSelected="1" topLeftCell="A33" workbookViewId="0">
      <selection activeCell="G63" sqref="G63"/>
    </sheetView>
  </sheetViews>
  <sheetFormatPr defaultRowHeight="14.4" x14ac:dyDescent="0.3"/>
  <cols>
    <col min="1" max="1" width="15.77734375" bestFit="1" customWidth="1"/>
    <col min="2" max="2" width="11.6640625" bestFit="1" customWidth="1"/>
    <col min="5" max="5" width="12.5546875" bestFit="1" customWidth="1"/>
    <col min="6" max="6" width="11.6640625" bestFit="1" customWidth="1"/>
    <col min="8" max="8" width="12.5546875" bestFit="1" customWidth="1"/>
    <col min="9" max="9" width="11.6640625" bestFit="1" customWidth="1"/>
    <col min="12" max="12" width="12.5546875" bestFit="1" customWidth="1"/>
    <col min="13" max="14" width="11.6640625" bestFit="1" customWidth="1"/>
    <col min="15" max="15" width="12.5546875" bestFit="1" customWidth="1"/>
    <col min="16" max="16" width="11.6640625" bestFit="1" customWidth="1"/>
  </cols>
  <sheetData>
    <row r="1" spans="1:16" x14ac:dyDescent="0.3">
      <c r="A1" s="3" t="s">
        <v>539</v>
      </c>
      <c r="B1" s="3" t="s">
        <v>540</v>
      </c>
    </row>
    <row r="2" spans="1:16" x14ac:dyDescent="0.3">
      <c r="A2" t="s">
        <v>541</v>
      </c>
      <c r="B2">
        <f>Working!B2</f>
        <v>569721.64999999979</v>
      </c>
    </row>
    <row r="3" spans="1:16" x14ac:dyDescent="0.3">
      <c r="A3" t="s">
        <v>542</v>
      </c>
      <c r="B3">
        <f>Working!B3</f>
        <v>68230.420000000027</v>
      </c>
    </row>
    <row r="4" spans="1:16" x14ac:dyDescent="0.3">
      <c r="A4" t="s">
        <v>543</v>
      </c>
      <c r="B4">
        <f>Working!B4</f>
        <v>2232</v>
      </c>
    </row>
    <row r="5" spans="1:16" x14ac:dyDescent="0.3">
      <c r="A5" t="s">
        <v>547</v>
      </c>
      <c r="B5" s="4">
        <f>Working!B8</f>
        <v>0.11976097450395302</v>
      </c>
    </row>
    <row r="6" spans="1:16" x14ac:dyDescent="0.3">
      <c r="A6" t="s">
        <v>548</v>
      </c>
      <c r="B6">
        <f>Working!B9</f>
        <v>500</v>
      </c>
    </row>
    <row r="8" spans="1:16" ht="23.4" x14ac:dyDescent="0.45">
      <c r="H8" s="11" t="s">
        <v>585</v>
      </c>
    </row>
    <row r="11" spans="1:16" x14ac:dyDescent="0.3">
      <c r="A11" s="3" t="s">
        <v>580</v>
      </c>
      <c r="E11" s="3" t="s">
        <v>581</v>
      </c>
      <c r="H11" s="3" t="s">
        <v>582</v>
      </c>
      <c r="L11" s="3" t="s">
        <v>583</v>
      </c>
      <c r="O11" s="3" t="s">
        <v>584</v>
      </c>
    </row>
    <row r="13" spans="1:16" x14ac:dyDescent="0.3">
      <c r="A13" s="5" t="s">
        <v>550</v>
      </c>
      <c r="B13" t="s">
        <v>552</v>
      </c>
      <c r="E13" s="5" t="s">
        <v>550</v>
      </c>
      <c r="F13" t="s">
        <v>552</v>
      </c>
      <c r="H13" s="5" t="s">
        <v>550</v>
      </c>
      <c r="I13" t="s">
        <v>552</v>
      </c>
      <c r="L13" s="5" t="s">
        <v>550</v>
      </c>
      <c r="M13" t="s">
        <v>565</v>
      </c>
      <c r="O13" s="5" t="s">
        <v>550</v>
      </c>
      <c r="P13" t="s">
        <v>552</v>
      </c>
    </row>
    <row r="14" spans="1:16" x14ac:dyDescent="0.3">
      <c r="A14" s="6" t="s">
        <v>16</v>
      </c>
      <c r="B14">
        <v>186284.60999999993</v>
      </c>
      <c r="E14" s="6" t="s">
        <v>40</v>
      </c>
      <c r="F14">
        <v>147286.32</v>
      </c>
      <c r="H14" s="6" t="s">
        <v>553</v>
      </c>
      <c r="I14">
        <v>40566.320000000007</v>
      </c>
      <c r="L14" s="6" t="s">
        <v>16</v>
      </c>
      <c r="M14">
        <v>21000.03000000001</v>
      </c>
      <c r="O14" s="6" t="s">
        <v>22</v>
      </c>
      <c r="P14">
        <v>65750.470000000016</v>
      </c>
    </row>
    <row r="15" spans="1:16" x14ac:dyDescent="0.3">
      <c r="A15" s="6" t="s">
        <v>31</v>
      </c>
      <c r="B15">
        <v>190524.59</v>
      </c>
      <c r="E15" s="6" t="s">
        <v>13</v>
      </c>
      <c r="F15">
        <v>122778.83999999998</v>
      </c>
      <c r="H15" s="6" t="s">
        <v>554</v>
      </c>
      <c r="I15">
        <v>40502.22</v>
      </c>
      <c r="L15" s="6" t="s">
        <v>31</v>
      </c>
      <c r="M15">
        <v>23431.550000000007</v>
      </c>
      <c r="O15" s="6" t="s">
        <v>59</v>
      </c>
      <c r="P15">
        <v>81880.380000000034</v>
      </c>
    </row>
    <row r="16" spans="1:16" x14ac:dyDescent="0.3">
      <c r="A16" s="6" t="s">
        <v>21</v>
      </c>
      <c r="B16">
        <v>192912.45000000004</v>
      </c>
      <c r="E16" s="6" t="s">
        <v>43</v>
      </c>
      <c r="F16">
        <v>152518.52000000002</v>
      </c>
      <c r="H16" s="6" t="s">
        <v>555</v>
      </c>
      <c r="I16">
        <v>47908.280000000006</v>
      </c>
      <c r="L16" s="6" t="s">
        <v>21</v>
      </c>
      <c r="M16">
        <v>23798.840000000004</v>
      </c>
      <c r="O16" s="6" t="s">
        <v>17</v>
      </c>
      <c r="P16">
        <v>63721.880000000005</v>
      </c>
    </row>
    <row r="17" spans="1:16" x14ac:dyDescent="0.3">
      <c r="A17" s="6" t="s">
        <v>551</v>
      </c>
      <c r="B17">
        <v>569721.65</v>
      </c>
      <c r="E17" s="6" t="s">
        <v>24</v>
      </c>
      <c r="F17">
        <v>147137.96999999997</v>
      </c>
      <c r="H17" s="6" t="s">
        <v>556</v>
      </c>
      <c r="I17">
        <v>30126.11</v>
      </c>
      <c r="L17" s="6" t="s">
        <v>551</v>
      </c>
      <c r="M17">
        <v>68230.420000000013</v>
      </c>
      <c r="O17" s="6" t="s">
        <v>36</v>
      </c>
      <c r="P17">
        <v>64510.350000000013</v>
      </c>
    </row>
    <row r="18" spans="1:16" x14ac:dyDescent="0.3">
      <c r="E18" s="6" t="s">
        <v>551</v>
      </c>
      <c r="F18">
        <v>569721.64999999991</v>
      </c>
      <c r="H18" s="6" t="s">
        <v>557</v>
      </c>
      <c r="I18">
        <v>50752.31</v>
      </c>
      <c r="O18" s="6" t="s">
        <v>27</v>
      </c>
      <c r="P18">
        <v>77563.62999999999</v>
      </c>
    </row>
    <row r="19" spans="1:16" x14ac:dyDescent="0.3">
      <c r="H19" s="6" t="s">
        <v>558</v>
      </c>
      <c r="I19">
        <v>46130.859999999993</v>
      </c>
      <c r="O19" s="6" t="s">
        <v>32</v>
      </c>
      <c r="P19">
        <v>57183.010000000009</v>
      </c>
    </row>
    <row r="20" spans="1:16" x14ac:dyDescent="0.3">
      <c r="H20" s="6" t="s">
        <v>559</v>
      </c>
      <c r="I20">
        <v>54860.249999999993</v>
      </c>
      <c r="O20" s="6" t="s">
        <v>48</v>
      </c>
      <c r="P20">
        <v>49598.35</v>
      </c>
    </row>
    <row r="21" spans="1:16" x14ac:dyDescent="0.3">
      <c r="H21" s="6" t="s">
        <v>560</v>
      </c>
      <c r="I21">
        <v>44366.07</v>
      </c>
      <c r="O21" s="6" t="s">
        <v>55</v>
      </c>
      <c r="P21">
        <v>51461.200000000019</v>
      </c>
    </row>
    <row r="22" spans="1:16" x14ac:dyDescent="0.3">
      <c r="H22" s="6" t="s">
        <v>561</v>
      </c>
      <c r="I22">
        <v>31518.25</v>
      </c>
      <c r="O22" s="6" t="s">
        <v>44</v>
      </c>
      <c r="P22">
        <v>58052.38</v>
      </c>
    </row>
    <row r="23" spans="1:16" x14ac:dyDescent="0.3">
      <c r="H23" s="6" t="s">
        <v>562</v>
      </c>
      <c r="I23">
        <v>61483.49000000002</v>
      </c>
      <c r="O23" s="6" t="s">
        <v>551</v>
      </c>
      <c r="P23">
        <v>569721.65</v>
      </c>
    </row>
    <row r="24" spans="1:16" x14ac:dyDescent="0.3">
      <c r="H24" s="6" t="s">
        <v>563</v>
      </c>
      <c r="I24">
        <v>52493.49</v>
      </c>
    </row>
    <row r="25" spans="1:16" x14ac:dyDescent="0.3">
      <c r="H25" s="6" t="s">
        <v>564</v>
      </c>
      <c r="I25">
        <v>69014.000000000029</v>
      </c>
    </row>
    <row r="26" spans="1:16" x14ac:dyDescent="0.3">
      <c r="H26" s="6" t="s">
        <v>551</v>
      </c>
      <c r="I26">
        <v>569721.65</v>
      </c>
    </row>
    <row r="30" spans="1:16" ht="25.8" x14ac:dyDescent="0.5">
      <c r="H30" s="12" t="s">
        <v>586</v>
      </c>
    </row>
    <row r="31" spans="1:16" ht="15.6" customHeight="1" x14ac:dyDescent="0.5">
      <c r="H31" s="12"/>
    </row>
    <row r="52" spans="2:2" ht="23.4" x14ac:dyDescent="0.3">
      <c r="B52" s="7" t="s">
        <v>566</v>
      </c>
    </row>
    <row r="54" spans="2:2" x14ac:dyDescent="0.3">
      <c r="B54" s="8" t="s">
        <v>567</v>
      </c>
    </row>
    <row r="55" spans="2:2" x14ac:dyDescent="0.3">
      <c r="B55" s="8" t="s">
        <v>568</v>
      </c>
    </row>
    <row r="56" spans="2:2" x14ac:dyDescent="0.3">
      <c r="B56" s="9" t="s">
        <v>569</v>
      </c>
    </row>
    <row r="57" spans="2:2" x14ac:dyDescent="0.3">
      <c r="B57" s="9" t="s">
        <v>570</v>
      </c>
    </row>
    <row r="58" spans="2:2" x14ac:dyDescent="0.3">
      <c r="B58" s="9" t="s">
        <v>571</v>
      </c>
    </row>
    <row r="59" spans="2:2" x14ac:dyDescent="0.3">
      <c r="B59" s="9" t="s">
        <v>572</v>
      </c>
    </row>
    <row r="61" spans="2:2" x14ac:dyDescent="0.3">
      <c r="B61" t="s">
        <v>573</v>
      </c>
    </row>
    <row r="66" spans="2:3" ht="23.4" x14ac:dyDescent="0.45">
      <c r="B66" s="7" t="s">
        <v>574</v>
      </c>
      <c r="C66" s="10"/>
    </row>
    <row r="67" spans="2:3" ht="15" customHeight="1" x14ac:dyDescent="0.45">
      <c r="B67" s="7"/>
      <c r="C67" s="10"/>
    </row>
    <row r="68" spans="2:3" x14ac:dyDescent="0.3">
      <c r="B68" s="8" t="s">
        <v>576</v>
      </c>
    </row>
    <row r="69" spans="2:3" x14ac:dyDescent="0.3">
      <c r="B69" t="s">
        <v>577</v>
      </c>
    </row>
    <row r="70" spans="2:3" x14ac:dyDescent="0.3">
      <c r="B70" t="s">
        <v>578</v>
      </c>
    </row>
    <row r="71" spans="2:3" x14ac:dyDescent="0.3">
      <c r="B71" t="s">
        <v>579</v>
      </c>
    </row>
    <row r="72" spans="2:3" x14ac:dyDescent="0.3">
      <c r="B72" s="3" t="s">
        <v>575</v>
      </c>
    </row>
  </sheetData>
  <pageMargins left="0.7" right="0.7" top="0.75" bottom="0.75" header="0.3" footer="0.3"/>
  <pageSetup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Working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Poojitha Maddula</cp:lastModifiedBy>
  <dcterms:created xsi:type="dcterms:W3CDTF">2026-09-24T04:53:40Z</dcterms:created>
  <dcterms:modified xsi:type="dcterms:W3CDTF">2026-09-24T06:19:51Z</dcterms:modified>
</cp:coreProperties>
</file>