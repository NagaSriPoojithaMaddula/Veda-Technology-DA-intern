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366" documentId="8_{86EA0B06-0506-4B8E-9940-0571DF5EA1A9}" xr6:coauthVersionLast="47" xr6:coauthVersionMax="47" xr10:uidLastSave="{A76BA6C0-B835-4CCB-A0D7-4532727CA31A}"/>
  <bookViews>
    <workbookView xWindow="-108" yWindow="-108" windowWidth="23256" windowHeight="12456" activeTab="3" xr2:uid="{447808FE-0A69-4142-AFAD-E80D8C5C90DF}"/>
  </bookViews>
  <sheets>
    <sheet name="Raw_Data" sheetId="1" r:id="rId1"/>
    <sheet name="Profit_Analysis" sheetId="3" r:id="rId2"/>
    <sheet name="Revenue vs Profit" sheetId="9" r:id="rId3"/>
    <sheet name="Summary" sheetId="8" r:id="rId4"/>
  </sheet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<sst xmlns="http://schemas.openxmlformats.org/spreadsheetml/2006/main" count="773" uniqueCount="209">
  <si>
    <t>Order ID</t>
  </si>
  <si>
    <t>Order Date</t>
  </si>
  <si>
    <t>Region</t>
  </si>
  <si>
    <t>City</t>
  </si>
  <si>
    <t>Customer Name</t>
  </si>
  <si>
    <t>Category</t>
  </si>
  <si>
    <t>Product</t>
  </si>
  <si>
    <t>Quantity</t>
  </si>
  <si>
    <t>Unit Price</t>
  </si>
  <si>
    <t>Discount</t>
  </si>
  <si>
    <t>Sales</t>
  </si>
  <si>
    <t>Profit</t>
  </si>
  <si>
    <t>ORD-1002</t>
  </si>
  <si>
    <t>West</t>
  </si>
  <si>
    <t>Pune</t>
  </si>
  <si>
    <t>Divya</t>
  </si>
  <si>
    <t>Furniture</t>
  </si>
  <si>
    <t>Conference Table</t>
  </si>
  <si>
    <t>ORD-1003</t>
  </si>
  <si>
    <t>East</t>
  </si>
  <si>
    <t>Vijayawada</t>
  </si>
  <si>
    <t>Office Supplies</t>
  </si>
  <si>
    <t>Pen Set</t>
  </si>
  <si>
    <t>ORD-1004</t>
  </si>
  <si>
    <t>Mumbai</t>
  </si>
  <si>
    <t>Isha</t>
  </si>
  <si>
    <t>Stapler</t>
  </si>
  <si>
    <t>ORD-1005</t>
  </si>
  <si>
    <t>Hyderabad</t>
  </si>
  <si>
    <t>Pooja</t>
  </si>
  <si>
    <t>File Folder</t>
  </si>
  <si>
    <t>ORD-1006</t>
  </si>
  <si>
    <t>Aarav</t>
  </si>
  <si>
    <t>ORD-1007</t>
  </si>
  <si>
    <t>Rahul</t>
  </si>
  <si>
    <t>ORD-1008</t>
  </si>
  <si>
    <t>North</t>
  </si>
  <si>
    <t>Priya</t>
  </si>
  <si>
    <t>Technology</t>
  </si>
  <si>
    <t>Headphones</t>
  </si>
  <si>
    <t>ORD-1009</t>
  </si>
  <si>
    <t>South</t>
  </si>
  <si>
    <t>Delhi</t>
  </si>
  <si>
    <t>Filing Cabinet</t>
  </si>
  <si>
    <t>ORD-1010</t>
  </si>
  <si>
    <t>Bengaluru</t>
  </si>
  <si>
    <t>Vikram</t>
  </si>
  <si>
    <t>Printer</t>
  </si>
  <si>
    <t>ORD-1011</t>
  </si>
  <si>
    <t>Sanjay</t>
  </si>
  <si>
    <t>ORD-1012</t>
  </si>
  <si>
    <t>ORD-1013</t>
  </si>
  <si>
    <t>Ravi</t>
  </si>
  <si>
    <t>ORD-1014</t>
  </si>
  <si>
    <t>Arjun</t>
  </si>
  <si>
    <t>Laptop</t>
  </si>
  <si>
    <t>ORD-1015</t>
  </si>
  <si>
    <t>Keyboard</t>
  </si>
  <si>
    <t>ORD-1016</t>
  </si>
  <si>
    <t>Sneha</t>
  </si>
  <si>
    <t>Smartphone</t>
  </si>
  <si>
    <t>ORD-1017</t>
  </si>
  <si>
    <t>Desk</t>
  </si>
  <si>
    <t>ORD-1018</t>
  </si>
  <si>
    <t>Kavya</t>
  </si>
  <si>
    <t>ORD-1019</t>
  </si>
  <si>
    <t>Kolkata</t>
  </si>
  <si>
    <t>ORD-1020</t>
  </si>
  <si>
    <t>Aditya</t>
  </si>
  <si>
    <t>ORD-1021</t>
  </si>
  <si>
    <t>ORD-1022</t>
  </si>
  <si>
    <t>Swathi</t>
  </si>
  <si>
    <t>Office Chair</t>
  </si>
  <si>
    <t>ORD-1023</t>
  </si>
  <si>
    <t>Paper Pack</t>
  </si>
  <si>
    <t>ORD-1024</t>
  </si>
  <si>
    <t>Monitor</t>
  </si>
  <si>
    <t>ORD-1025</t>
  </si>
  <si>
    <t>Rohit</t>
  </si>
  <si>
    <t>ORD-1026</t>
  </si>
  <si>
    <t>Chennai</t>
  </si>
  <si>
    <t>ORD-1027</t>
  </si>
  <si>
    <t>ORD-1028</t>
  </si>
  <si>
    <t>ORD-1029</t>
  </si>
  <si>
    <t>ORD-1030</t>
  </si>
  <si>
    <t>ORD-1031</t>
  </si>
  <si>
    <t>ORD-1032</t>
  </si>
  <si>
    <t>ORD-1033</t>
  </si>
  <si>
    <t>Kiran</t>
  </si>
  <si>
    <t>Calculator</t>
  </si>
  <si>
    <t>ORD-1034</t>
  </si>
  <si>
    <t>ORD-1035</t>
  </si>
  <si>
    <t>ORD-1036</t>
  </si>
  <si>
    <t>Neha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</si>
  <si>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</si>
  <si>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</si>
  <si>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</si>
  <si>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</si>
  <si>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</si>
  <si>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</si>
  <si>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</si>
  <si>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</si>
  <si>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</si>
  <si>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Varun</t>
  </si>
  <si>
    <t>ORD-1046</t>
  </si>
  <si>
    <t>ORD-1047</t>
  </si>
  <si>
    <t>ORD-1048</t>
  </si>
  <si>
    <t>Meena</t>
  </si>
  <si>
    <t>ORD-1049</t>
  </si>
  <si>
    <t>ORD-1050</t>
  </si>
  <si>
    <t>ORD-1051</t>
  </si>
  <si>
    <t>ORD-1052</t>
  </si>
  <si>
    <t>Bookshelf</t>
  </si>
  <si>
    <t>ORD-1053</t>
  </si>
  <si>
    <t>ORD-1054</t>
  </si>
  <si>
    <t>ORD-1055</t>
  </si>
  <si>
    <t>ORD-1056</t>
  </si>
  <si>
    <t>Ananya</t>
  </si>
  <si>
    <t>ORD-1057</t>
  </si>
  <si>
    <t>ORD-1058</t>
  </si>
  <si>
    <t>ORD-1059</t>
  </si>
  <si>
    <t>ORD-1060</t>
  </si>
  <si>
    <t>ORD-1061</t>
  </si>
  <si>
    <t>ORD-1062</t>
  </si>
  <si>
    <t>Notebook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</si>
  <si>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</si>
  <si>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</si>
  <si>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</si>
  <si>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</si>
  <si>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</si>
  <si>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</si>
  <si>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</si>
  <si>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</si>
  <si>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</si>
  <si>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</si>
  <si>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</si>
  <si>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</si>
  <si>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</si>
  <si>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</si>
  <si>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</si>
  <si>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</si>
  <si>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</si>
  <si>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</si>
  <si>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</si>
  <si>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</si>
  <si>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</si>
  <si>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</si>
  <si>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</si>
  <si>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</si>
  <si>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</si>
  <si>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</si>
  <si>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</si>
  <si>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</si>
  <si>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</si>
  <si>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</si>
  <si>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</si>
  <si>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</si>
  <si>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</si>
  <si>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</si>
  <si>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</si>
  <si>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</si>
  <si>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</si>
  <si>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</si>
  <si>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</si>
  <si>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</si>
  <si>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</si>
  <si>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</si>
  <si>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</si>
  <si>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</si>
  <si>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</si>
  <si>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</si>
  <si>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</si>
  <si>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</si>
  <si>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</si>
  <si>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</si>
  <si>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</si>
  <si>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</si>
  <si>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</si>
  <si>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</si>
  <si>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</si>
  <si>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</si>
  <si>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</si>
  <si>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</si>
  <si>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</si>
  <si>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Grand Total</t>
  </si>
  <si>
    <t>PIVOT TABLE ON CATEGORY AND SALES</t>
  </si>
  <si>
    <t>PIVOT TABLE ON PROFIT_ANALYSIS</t>
  </si>
  <si>
    <t>Average of Profit</t>
  </si>
  <si>
    <t>Total Sales</t>
  </si>
  <si>
    <t>Total Profit</t>
  </si>
  <si>
    <t>Highest Profit Category = TECHNOLOGY</t>
  </si>
  <si>
    <t>Technology generated the highest total profit among the three product categories.</t>
  </si>
  <si>
    <t>REVENUE vs PROFIT</t>
  </si>
  <si>
    <t>Technology has both:</t>
  </si>
  <si>
    <t>Highest Sales and Highest Profit</t>
  </si>
  <si>
    <t>BUSSINESS INSIGHTS</t>
  </si>
  <si>
    <t>1. Highest Profit</t>
  </si>
  <si>
    <t>2. Highest Sales</t>
  </si>
  <si>
    <t>3. Average Profit</t>
  </si>
  <si>
    <t>Average profit helps compare the profitability of individual transactions/products rather than only looking at total profit.</t>
  </si>
  <si>
    <t>4. Revenue vs Profit</t>
  </si>
  <si>
    <t>High revenue does not always guarantee high profit because discounts, product costs, and other expenses can reduce profitability.</t>
  </si>
  <si>
    <t>5. Business Recommendation</t>
  </si>
  <si>
    <t>The business should focus on high-performing categories while monitoring discounts and costs to maintain healthy profit margins.</t>
  </si>
  <si>
    <r>
      <rPr>
        <b/>
        <sz val="11"/>
        <color theme="1"/>
        <rFont val="Aptos Narrow"/>
        <family val="2"/>
        <scheme val="minor"/>
      </rPr>
      <t>Technology</t>
    </r>
    <r>
      <rPr>
        <sz val="11"/>
        <color theme="1"/>
        <rFont val="Aptos Narrow"/>
        <family val="2"/>
        <scheme val="minor"/>
      </rPr>
      <t xml:space="preserve"> is the highest-profit category based on total profit.</t>
    </r>
  </si>
  <si>
    <r>
      <rPr>
        <b/>
        <sz val="11"/>
        <color theme="1"/>
        <rFont val="Aptos Narrow"/>
        <family val="2"/>
        <scheme val="minor"/>
      </rPr>
      <t>Technology</t>
    </r>
    <r>
      <rPr>
        <sz val="11"/>
        <color theme="1"/>
        <rFont val="Aptos Narrow"/>
        <family val="2"/>
        <scheme val="minor"/>
      </rPr>
      <t xml:space="preserve"> also generates the highest sales among the analyzed categories.</t>
    </r>
  </si>
  <si>
    <t>CONCLUSION</t>
  </si>
  <si>
    <t>Technology is the highest-profit category, generating approximately ₹8.33 lakh in total profit.</t>
  </si>
  <si>
    <t>The analysis also shows that sales revenue and profit are different measures, and high sales can result in lower profitability when costs or discounts are high.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</si>
</sst>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9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4"/>
      <color theme="8" tint="-0.499984740745262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18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4" fontId="0" fillId="0" borderId="0" xfId="0" applyNumberFormat="1"/>
    <xf numFmtId="0" fontId="5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16"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[Profit_Analysis.xlsx]Profit_Analysis!PivotTable4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5CE756-4C7F-46B4-8D0C-A0DB3FB39AA8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Profit_Analysis!$C$12</c:f>
              <c:strCache>
                <c:ptCount val="1"/>
                <c:pt idx="0">
                  <c:v>Total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Profit_Analysis!$B$13:$B$16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Profit_Analysis!$C$13:$C$16</c:f>
              <c:numCache>
                <c:formatCode>_("₹"* #,##0.00_);_("₹"* \(#,##0.00\);_("₹"* "-"??_);_(@_)</c:formatCode>
                <c:ptCount val="3"/>
                <c:pt idx="0">
                  <c:v>832684.83999999985</c:v>
                </c:pt>
                <c:pt idx="1">
                  <c:v>479718.57999999996</c:v>
                </c:pt>
                <c:pt idx="2">
                  <c:v>28908.22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5-47C0-AC2C-C437EBA2D897}"/>
            </c:ext>
          </c:extLst>
        </c:ser>
        <c:ser>
          <c:idx val="1"/>
          <c:order val="1"/>
          <c:tx>
            <c:strRef>
              <c:f>Profit_Analysis!$D$12</c:f>
              <c:strCache>
                <c:ptCount val="1"/>
                <c:pt idx="0">
                  <c:v>Average of Profit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2"/>
              <c:tx>
                <c:rich>
                  <a:bodyPr/>
                  <a:lstStyle/>
                  <a:p>
                    <a:fld id="{7D5CE756-4C7F-46B4-8D0C-A0DB3FB39AA8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BD5-47C0-AC2C-C437EBA2D8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Profit_Analysis!$B$13:$B$16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Profit_Analysis!$D$13:$D$16</c:f>
              <c:numCache>
                <c:formatCode>_("₹"* #,##0.00_);_("₹"* \(#,##0.00\);_("₹"* "-"??_);_(@_)</c:formatCode>
                <c:ptCount val="3"/>
                <c:pt idx="0">
                  <c:v>20817.120999999996</c:v>
                </c:pt>
                <c:pt idx="1">
                  <c:v>12300.47641025641</c:v>
                </c:pt>
                <c:pt idx="2">
                  <c:v>705.0785365853659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D5-47C0-AC2C-C437EBA2D8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18436864"/>
        <c:axId val="883112720"/>
      </c:barChart>
      <c:catAx>
        <c:axId val="1218436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112720"/>
        <c:crosses val="autoZero"/>
        <c:auto val="1"/>
        <c:lblAlgn val="ctr"/>
        <c:lblOffset val="100"/>
        <c:noMultiLvlLbl val="0"/>
      </c:catAx>
      <c:valAx>
        <c:axId val="883112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43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2747859.52</c:v>
              </c:pt>
              <c:pt idx="1">
                <c:v>2001490.9999999998</c:v>
              </c:pt>
              <c:pt idx="2">
                <c:v>61886.069999999985</c:v>
              </c:pt>
            </c:numLit>
          </c:val>
          <c:extLst>
            <c:ext xmlns:c16="http://schemas.microsoft.com/office/drawing/2014/chart" uri="{C3380CC4-5D6E-409C-BE32-E72D297353CC}">
              <c16:uniqueId val="{00000000-F8FB-44E8-A091-5B479ACB5CB1}"/>
            </c:ext>
          </c:extLst>
        </c:ser>
        <c:ser>
          <c:idx val="1"/>
          <c:order val="1"/>
          <c:tx>
            <c:v>Total Profit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832684.83999999985</c:v>
              </c:pt>
              <c:pt idx="1">
                <c:v>479718.57999999996</c:v>
              </c:pt>
              <c:pt idx="2">
                <c:v>28908.22</c:v>
              </c:pt>
            </c:numLit>
          </c:val>
          <c:extLst>
            <c:ext xmlns:c16="http://schemas.microsoft.com/office/drawing/2014/chart" uri="{C3380CC4-5D6E-409C-BE32-E72D297353CC}">
              <c16:uniqueId val="{00000001-F8FB-44E8-A091-5B479ACB5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5366352"/>
        <c:axId val="1375849200"/>
      </c:barChart>
      <c:catAx>
        <c:axId val="129536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49200"/>
        <c:crosses val="autoZero"/>
        <c:auto val="1"/>
        <c:lblAlgn val="ctr"/>
        <c:lblOffset val="100"/>
        <c:noMultiLvlLbl val="0"/>
      </c:catAx>
      <c:valAx>
        <c:axId val="13758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6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8</xdr:row>
      <xdr:rowOff>144780</xdr:rowOff>
    </xdr:from>
    <xdr:to>
      <xdr:col>13</xdr:col>
      <xdr:colOff>99060</xdr:colOff>
      <xdr:row>22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17609F-6B93-BADC-43F5-F515CD680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3</xdr:row>
      <xdr:rowOff>22860</xdr:rowOff>
    </xdr:from>
    <xdr:to>
      <xdr:col>14</xdr:col>
      <xdr:colOff>7620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014F7-E6F7-4207-B021-9870327A5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300.57283344907" createdVersion="8" refreshedVersion="8" minRefreshableVersion="3" recordCount="120" xr:uid="{8D8867AE-0703-4DC5-B635-5E3BCA504A4E}">
  <cacheSource type="worksheet">
    <worksheetSource ref="A1:L121" sheet="Raw_Data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26-01-03T00:00:00" maxDate="2026-09-28T00:00:00"/>
    </cacheField>
    <cacheField name="Region" numFmtId="0">
      <sharedItems/>
    </cacheField>
    <cacheField name="City" numFmtId="0">
      <sharedItems/>
    </cacheField>
    <cacheField name="Customer Name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03" maxValue="65296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100.8" maxValue="360433.91999999998"/>
    </cacheField>
    <cacheField name="Profit" numFmtId="0">
      <sharedItems containsSemiMixedTypes="0" containsString="0" containsNumber="1" minValue="41.44" maxValue="120636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RD-1002"/>
    <d v="2026-01-03T00:00:00"/>
    <s v="West"/>
    <s v="Pune"/>
    <s v="Divya"/>
    <x v="0"/>
    <s v="Conference Table"/>
    <n v="5"/>
    <n v="27744"/>
    <n v="0.08"/>
    <n v="127622.39999999999"/>
    <n v="35632.68"/>
  </r>
  <r>
    <s v="ORD-1003"/>
    <d v="2026-03-14T00:00:00"/>
    <s v="East"/>
    <s v="Vijayawada"/>
    <s v="Divya"/>
    <x v="1"/>
    <s v="Pen Set"/>
    <n v="5"/>
    <n v="105"/>
    <n v="0.05"/>
    <n v="498.75"/>
    <n v="180.83"/>
  </r>
  <r>
    <s v="ORD-1004"/>
    <d v="2026-01-15T00:00:00"/>
    <s v="West"/>
    <s v="Mumbai"/>
    <s v="Isha"/>
    <x v="1"/>
    <s v="Stapler"/>
    <n v="3"/>
    <n v="130"/>
    <n v="0.2"/>
    <n v="312"/>
    <n v="128.11000000000001"/>
  </r>
  <r>
    <s v="ORD-1005"/>
    <d v="2026-05-13T00:00:00"/>
    <s v="West"/>
    <s v="Hyderabad"/>
    <s v="Pooja"/>
    <x v="1"/>
    <s v="File Folder"/>
    <n v="4"/>
    <n v="135"/>
    <n v="0.2"/>
    <n v="432"/>
    <n v="206.82"/>
  </r>
  <r>
    <s v="ORD-1006"/>
    <d v="2026-01-23T00:00:00"/>
    <s v="East"/>
    <s v="Hyderabad"/>
    <s v="Aarav"/>
    <x v="0"/>
    <s v="Conference Table"/>
    <n v="3"/>
    <n v="28932"/>
    <n v="0.1"/>
    <n v="78116.399999999994"/>
    <n v="20877.080000000002"/>
  </r>
  <r>
    <s v="ORD-1007"/>
    <d v="2026-06-12T00:00:00"/>
    <s v="West"/>
    <s v="Mumbai"/>
    <s v="Rahul"/>
    <x v="1"/>
    <s v="Stapler"/>
    <n v="8"/>
    <n v="240"/>
    <n v="0.02"/>
    <n v="1881.6"/>
    <n v="901.21"/>
  </r>
  <r>
    <s v="ORD-1008"/>
    <d v="2026-09-09T00:00:00"/>
    <s v="North"/>
    <s v="Mumbai"/>
    <s v="Priya"/>
    <x v="2"/>
    <s v="Headphones"/>
    <n v="1"/>
    <n v="5150"/>
    <n v="0.08"/>
    <n v="4738"/>
    <n v="1161.81"/>
  </r>
  <r>
    <s v="ORD-1009"/>
    <d v="2026-03-15T00:00:00"/>
    <s v="South"/>
    <s v="Delhi"/>
    <s v="Pooja"/>
    <x v="0"/>
    <s v="Filing Cabinet"/>
    <n v="8"/>
    <n v="3640"/>
    <n v="0.15"/>
    <n v="24752"/>
    <n v="7819.26"/>
  </r>
  <r>
    <s v="ORD-1010"/>
    <d v="2026-09-19T00:00:00"/>
    <s v="North"/>
    <s v="Bengaluru"/>
    <s v="Vikram"/>
    <x v="2"/>
    <s v="Printer"/>
    <n v="7"/>
    <n v="7704"/>
    <n v="0.1"/>
    <n v="48535.199999999997"/>
    <n v="15963.23"/>
  </r>
  <r>
    <s v="ORD-1011"/>
    <d v="2026-01-24T00:00:00"/>
    <s v="North"/>
    <s v="Vijayawada"/>
    <s v="Sanjay"/>
    <x v="2"/>
    <s v="Headphones"/>
    <n v="2"/>
    <n v="1962"/>
    <n v="0.02"/>
    <n v="3845.52"/>
    <n v="1455.67"/>
  </r>
  <r>
    <s v="ORD-1012"/>
    <d v="2026-05-03T00:00:00"/>
    <s v="South"/>
    <s v="Hyderabad"/>
    <s v="Priya"/>
    <x v="2"/>
    <s v="Headphones"/>
    <n v="4"/>
    <n v="3292"/>
    <n v="0.02"/>
    <n v="12904.64"/>
    <n v="3701.85"/>
  </r>
  <r>
    <s v="ORD-1013"/>
    <d v="2026-08-26T00:00:00"/>
    <s v="West"/>
    <s v="Mumbai"/>
    <s v="Ravi"/>
    <x v="1"/>
    <s v="Pen Set"/>
    <n v="7"/>
    <n v="237"/>
    <n v="0.08"/>
    <n v="1526.28"/>
    <n v="825.91"/>
  </r>
  <r>
    <s v="ORD-1014"/>
    <d v="2026-09-15T00:00:00"/>
    <s v="West"/>
    <s v="Hyderabad"/>
    <s v="Arjun"/>
    <x v="2"/>
    <s v="Laptop"/>
    <n v="4"/>
    <n v="42993"/>
    <n v="0.08"/>
    <n v="158214.24"/>
    <n v="43232.68"/>
  </r>
  <r>
    <s v="ORD-1015"/>
    <d v="2026-08-11T00:00:00"/>
    <s v="South"/>
    <s v="Delhi"/>
    <s v="Divya"/>
    <x v="2"/>
    <s v="Keyboard"/>
    <n v="2"/>
    <n v="3490"/>
    <n v="0.05"/>
    <n v="6631"/>
    <n v="2396.84"/>
  </r>
  <r>
    <s v="ORD-1016"/>
    <d v="2026-04-05T00:00:00"/>
    <s v="East"/>
    <s v="Mumbai"/>
    <s v="Sneha"/>
    <x v="2"/>
    <s v="Smartphone"/>
    <n v="7"/>
    <n v="31226"/>
    <n v="0.1"/>
    <n v="196723.8"/>
    <n v="67676.899999999994"/>
  </r>
  <r>
    <s v="ORD-1017"/>
    <d v="2026-06-05T00:00:00"/>
    <s v="East"/>
    <s v="Hyderabad"/>
    <s v="Rahul"/>
    <x v="0"/>
    <s v="Desk"/>
    <n v="7"/>
    <n v="15784"/>
    <n v="0.2"/>
    <n v="88390.399999999994"/>
    <n v="27935.51"/>
  </r>
  <r>
    <s v="ORD-1018"/>
    <d v="2026-09-15T00:00:00"/>
    <s v="South"/>
    <s v="Mumbai"/>
    <s v="Kavya"/>
    <x v="0"/>
    <s v="Conference Table"/>
    <n v="8"/>
    <n v="19915"/>
    <n v="0.02"/>
    <n v="156133.6"/>
    <n v="33395.99"/>
  </r>
  <r>
    <s v="ORD-1019"/>
    <d v="2026-09-12T00:00:00"/>
    <s v="North"/>
    <s v="Kolkata"/>
    <s v="Kavya"/>
    <x v="2"/>
    <s v="Headphones"/>
    <n v="6"/>
    <n v="2079"/>
    <n v="0"/>
    <n v="12474"/>
    <n v="3817.3"/>
  </r>
  <r>
    <s v="ORD-1020"/>
    <d v="2026-02-03T00:00:00"/>
    <s v="South"/>
    <s v="Bengaluru"/>
    <s v="Aditya"/>
    <x v="2"/>
    <s v="Laptop"/>
    <n v="6"/>
    <n v="65296"/>
    <n v="0.08"/>
    <n v="360433.91999999998"/>
    <n v="120636.69"/>
  </r>
  <r>
    <s v="ORD-1021"/>
    <d v="2026-04-15T00:00:00"/>
    <s v="North"/>
    <s v="Pune"/>
    <s v="Aarav"/>
    <x v="2"/>
    <s v="Headphones"/>
    <n v="1"/>
    <n v="1307"/>
    <n v="0.02"/>
    <n v="1280.8599999999999"/>
    <n v="418.45"/>
  </r>
  <r>
    <s v="ORD-1022"/>
    <d v="2026-05-18T00:00:00"/>
    <s v="North"/>
    <s v="Bengaluru"/>
    <s v="Swathi"/>
    <x v="0"/>
    <s v="Office Chair"/>
    <n v="4"/>
    <n v="5913"/>
    <n v="0.02"/>
    <n v="23178.959999999999"/>
    <n v="5316.12"/>
  </r>
  <r>
    <s v="ORD-1023"/>
    <d v="2026-03-30T00:00:00"/>
    <s v="North"/>
    <s v="Bengaluru"/>
    <s v="Aarav"/>
    <x v="1"/>
    <s v="Paper Pack"/>
    <n v="3"/>
    <n v="607"/>
    <n v="0.15"/>
    <n v="1547.85"/>
    <n v="687.3"/>
  </r>
  <r>
    <s v="ORD-1024"/>
    <d v="2026-02-19T00:00:00"/>
    <s v="South"/>
    <s v="Vijayawada"/>
    <s v="Sneha"/>
    <x v="2"/>
    <s v="Monitor"/>
    <n v="5"/>
    <n v="19967"/>
    <n v="0.15"/>
    <n v="84859.75"/>
    <n v="21196.75"/>
  </r>
  <r>
    <s v="ORD-1025"/>
    <d v="2026-04-28T00:00:00"/>
    <s v="East"/>
    <s v="Bengaluru"/>
    <s v="Rohit"/>
    <x v="1"/>
    <s v="File Folder"/>
    <n v="2"/>
    <n v="236"/>
    <n v="0.15"/>
    <n v="401.2"/>
    <n v="133.16999999999999"/>
  </r>
  <r>
    <s v="ORD-1026"/>
    <d v="2026-01-17T00:00:00"/>
    <s v="South"/>
    <s v="Chennai"/>
    <s v="Sneha"/>
    <x v="0"/>
    <s v="Office Chair"/>
    <n v="2"/>
    <n v="6483"/>
    <n v="0.08"/>
    <n v="11928.72"/>
    <n v="3647.98"/>
  </r>
  <r>
    <s v="ORD-1027"/>
    <d v="2026-07-26T00:00:00"/>
    <s v="West"/>
    <s v="Pune"/>
    <s v="Priya"/>
    <x v="2"/>
    <s v="Keyboard"/>
    <n v="6"/>
    <n v="1074"/>
    <n v="0"/>
    <n v="6444"/>
    <n v="1745.43"/>
  </r>
  <r>
    <s v="ORD-1028"/>
    <d v="2026-07-11T00:00:00"/>
    <s v="West"/>
    <s v="Vijayawada"/>
    <s v="Pooja"/>
    <x v="1"/>
    <s v="Paper Pack"/>
    <n v="4"/>
    <n v="859"/>
    <n v="0.05"/>
    <n v="3264.2"/>
    <n v="1237.51"/>
  </r>
  <r>
    <s v="ORD-1029"/>
    <d v="2026-01-29T00:00:00"/>
    <s v="South"/>
    <s v="Delhi"/>
    <s v="Kavya"/>
    <x v="2"/>
    <s v="Laptop"/>
    <n v="7"/>
    <n v="48966"/>
    <n v="0.08"/>
    <n v="315341.03999999998"/>
    <n v="75140.73"/>
  </r>
  <r>
    <s v="ORD-1030"/>
    <d v="2026-03-17T00:00:00"/>
    <s v="West"/>
    <s v="Bengaluru"/>
    <s v="Vikram"/>
    <x v="0"/>
    <s v="Office Chair"/>
    <n v="7"/>
    <n v="11963"/>
    <n v="0.05"/>
    <n v="79553.95"/>
    <n v="25152.84"/>
  </r>
  <r>
    <s v="ORD-1031"/>
    <d v="2026-08-18T00:00:00"/>
    <s v="North"/>
    <s v="Chennai"/>
    <s v="Aarav"/>
    <x v="2"/>
    <s v="Keyboard"/>
    <n v="7"/>
    <n v="1130"/>
    <n v="0"/>
    <n v="7910"/>
    <n v="1907.13"/>
  </r>
  <r>
    <s v="ORD-1032"/>
    <d v="2026-07-30T00:00:00"/>
    <s v="North"/>
    <s v="Vijayawada"/>
    <s v="Priya"/>
    <x v="2"/>
    <s v="Headphones"/>
    <n v="5"/>
    <n v="2797"/>
    <n v="0.1"/>
    <n v="12586.5"/>
    <n v="3437.39"/>
  </r>
  <r>
    <s v="ORD-1033"/>
    <d v="2026-02-10T00:00:00"/>
    <s v="East"/>
    <s v="Mumbai"/>
    <s v="Kiran"/>
    <x v="1"/>
    <s v="Calculator"/>
    <n v="3"/>
    <n v="502"/>
    <n v="0.05"/>
    <n v="1430.7"/>
    <n v="587.37"/>
  </r>
  <r>
    <s v="ORD-1034"/>
    <d v="2026-03-17T00:00:00"/>
    <s v="North"/>
    <s v="Pune"/>
    <s v="Ravi"/>
    <x v="1"/>
    <s v="Paper Pack"/>
    <n v="7"/>
    <n v="539"/>
    <n v="0.1"/>
    <n v="3395.7"/>
    <n v="1803.34"/>
  </r>
  <r>
    <s v="ORD-1035"/>
    <d v="2026-05-14T00:00:00"/>
    <s v="West"/>
    <s v="Pune"/>
    <s v="Rohit"/>
    <x v="0"/>
    <s v="Conference Table"/>
    <n v="2"/>
    <n v="22350"/>
    <n v="0.2"/>
    <n v="35760"/>
    <n v="6174.09"/>
  </r>
  <r>
    <s v="ORD-1036"/>
    <d v="2026-07-25T00:00:00"/>
    <s v="East"/>
    <s v="Mumbai"/>
    <s v="Neha"/>
    <x v="0"/>
    <s v="Office Chair"/>
    <n v="2"/>
    <n v="5534"/>
    <n v="0.05"/>
    <n v="10514.6"/>
    <n v="1682.82"/>
  </r>
  <r>
    <s v="ORD-1037"/>
    <d v="2026-04-12T00:00:00"/>
    <s v="North"/>
    <s v="Delhi"/>
    <s v="Kiran"/>
    <x v="2"/>
    <s v="Monitor"/>
    <n v="8"/>
    <n v="8232"/>
    <n v="0.15"/>
    <n v="55977.599999999999"/>
    <n v="21234.69"/>
  </r>
  <r>
    <s v="ORD-1038"/>
    <d v="2026-05-17T00:00:00"/>
    <s v="North"/>
    <s v="Kolkata"/>
    <s v="Sneha"/>
    <x v="1"/>
    <s v="Pen Set"/>
    <n v="7"/>
    <n v="272"/>
    <n v="0.1"/>
    <n v="1713.6"/>
    <n v="639.28"/>
  </r>
  <r>
    <s v="ORD-1039"/>
    <d v="2026-03-22T00:00:00"/>
    <s v="South"/>
    <s v="Vijayawada"/>
    <s v="Kavya"/>
    <x v="0"/>
    <s v="Conference Table"/>
    <n v="5"/>
    <n v="31240"/>
    <n v="0.05"/>
    <n v="148390"/>
    <n v="27383.3"/>
  </r>
  <r>
    <s v="ORD-1040"/>
    <d v="2026-05-18T00:00:00"/>
    <s v="South"/>
    <s v="Hyderabad"/>
    <s v="Priya"/>
    <x v="2"/>
    <s v="Monitor"/>
    <n v="1"/>
    <n v="8007"/>
    <n v="0.1"/>
    <n v="7206.3"/>
    <n v="2624.84"/>
  </r>
  <r>
    <s v="ORD-1041"/>
    <d v="2026-05-10T00:00:00"/>
    <s v="West"/>
    <s v="Hyderabad"/>
    <s v="Vikram"/>
    <x v="0"/>
    <s v="Conference Table"/>
    <n v="1"/>
    <n v="23714"/>
    <n v="0"/>
    <n v="23714"/>
    <n v="3813.92"/>
  </r>
  <r>
    <s v="ORD-1042"/>
    <d v="2026-06-06T00:00:00"/>
    <s v="South"/>
    <s v="Bengaluru"/>
    <s v="Sneha"/>
    <x v="0"/>
    <s v="Filing Cabinet"/>
    <n v="7"/>
    <n v="6963"/>
    <n v="0.02"/>
    <n v="47766.18"/>
    <n v="10049.39"/>
  </r>
  <r>
    <s v="ORD-1043"/>
    <d v="2026-04-15T00:00:00"/>
    <s v="South"/>
    <s v="Delhi"/>
    <s v="Rahul"/>
    <x v="2"/>
    <s v="Keyboard"/>
    <n v="2"/>
    <n v="2346"/>
    <n v="0.02"/>
    <n v="4598.16"/>
    <n v="1726.97"/>
  </r>
  <r>
    <s v="ORD-1044"/>
    <d v="2026-06-16T00:00:00"/>
    <s v="West"/>
    <s v="Bengaluru"/>
    <s v="Vikram"/>
    <x v="1"/>
    <s v="Stapler"/>
    <n v="5"/>
    <n v="600"/>
    <n v="0.08"/>
    <n v="2760"/>
    <n v="1304.1500000000001"/>
  </r>
  <r>
    <s v="ORD-1045"/>
    <d v="2026-07-28T00:00:00"/>
    <s v="West"/>
    <s v="Hyderabad"/>
    <s v="Varun"/>
    <x v="2"/>
    <s v="Keyboard"/>
    <n v="1"/>
    <n v="1000"/>
    <n v="0.05"/>
    <n v="950"/>
    <n v="357.73"/>
  </r>
  <r>
    <s v="ORD-1046"/>
    <d v="2026-03-29T00:00:00"/>
    <s v="East"/>
    <s v="Bengaluru"/>
    <s v="Pooja"/>
    <x v="2"/>
    <s v="Headphones"/>
    <n v="4"/>
    <n v="3162"/>
    <n v="0"/>
    <n v="12648"/>
    <n v="4456.3500000000004"/>
  </r>
  <r>
    <s v="ORD-1047"/>
    <d v="2026-06-11T00:00:00"/>
    <s v="West"/>
    <s v="Delhi"/>
    <s v="Pooja"/>
    <x v="0"/>
    <s v="Office Chair"/>
    <n v="3"/>
    <n v="11644"/>
    <n v="0.2"/>
    <n v="27945.599999999999"/>
    <n v="4738.62"/>
  </r>
  <r>
    <s v="ORD-1048"/>
    <d v="2026-07-28T00:00:00"/>
    <s v="North"/>
    <s v="Bengaluru"/>
    <s v="Meena"/>
    <x v="1"/>
    <s v="Stapler"/>
    <n v="5"/>
    <n v="244"/>
    <n v="0.08"/>
    <n v="1122.4000000000001"/>
    <n v="451.36"/>
  </r>
  <r>
    <s v="ORD-1049"/>
    <d v="2026-03-11T00:00:00"/>
    <s v="North"/>
    <s v="Hyderabad"/>
    <s v="Varun"/>
    <x v="1"/>
    <s v="Pen Set"/>
    <n v="4"/>
    <n v="103"/>
    <n v="0.2"/>
    <n v="329.6"/>
    <n v="108.66"/>
  </r>
  <r>
    <s v="ORD-1050"/>
    <d v="2026-01-30T00:00:00"/>
    <s v="East"/>
    <s v="Pune"/>
    <s v="Vikram"/>
    <x v="2"/>
    <s v="Printer"/>
    <n v="7"/>
    <n v="10848"/>
    <n v="0.05"/>
    <n v="72139.199999999997"/>
    <n v="27234.54"/>
  </r>
  <r>
    <s v="ORD-1051"/>
    <d v="2026-09-26T00:00:00"/>
    <s v="East"/>
    <s v="Chennai"/>
    <s v="Ravi"/>
    <x v="1"/>
    <s v="Stapler"/>
    <n v="4"/>
    <n v="519"/>
    <n v="0.02"/>
    <n v="2034.48"/>
    <n v="1100"/>
  </r>
  <r>
    <s v="ORD-1052"/>
    <d v="2026-06-03T00:00:00"/>
    <s v="South"/>
    <s v="Pune"/>
    <s v="Sanjay"/>
    <x v="0"/>
    <s v="Bookshelf"/>
    <n v="4"/>
    <n v="3486"/>
    <n v="0"/>
    <n v="13944"/>
    <n v="3212.9"/>
  </r>
  <r>
    <s v="ORD-1053"/>
    <d v="2026-06-28T00:00:00"/>
    <s v="West"/>
    <s v="Vijayawada"/>
    <s v="Arjun"/>
    <x v="1"/>
    <s v="Pen Set"/>
    <n v="5"/>
    <n v="474"/>
    <n v="0.1"/>
    <n v="2133"/>
    <n v="1143.8399999999999"/>
  </r>
  <r>
    <s v="ORD-1054"/>
    <d v="2026-06-06T00:00:00"/>
    <s v="South"/>
    <s v="Hyderabad"/>
    <s v="Arjun"/>
    <x v="0"/>
    <s v="Office Chair"/>
    <n v="6"/>
    <n v="8767"/>
    <n v="0.05"/>
    <n v="49971.9"/>
    <n v="12131.95"/>
  </r>
  <r>
    <s v="ORD-1055"/>
    <d v="2026-08-08T00:00:00"/>
    <s v="South"/>
    <s v="Chennai"/>
    <s v="Arjun"/>
    <x v="1"/>
    <s v="File Folder"/>
    <n v="2"/>
    <n v="215"/>
    <n v="0.1"/>
    <n v="387"/>
    <n v="201.09"/>
  </r>
  <r>
    <s v="ORD-1056"/>
    <d v="2026-03-14T00:00:00"/>
    <s v="West"/>
    <s v="Pune"/>
    <s v="Ananya"/>
    <x v="1"/>
    <s v="Pen Set"/>
    <n v="8"/>
    <n v="211"/>
    <n v="0.1"/>
    <n v="1519.2"/>
    <n v="748.81"/>
  </r>
  <r>
    <s v="ORD-1057"/>
    <d v="2026-05-31T00:00:00"/>
    <s v="South"/>
    <s v="Vijayawada"/>
    <s v="Rohit"/>
    <x v="2"/>
    <s v="Smartphone"/>
    <n v="6"/>
    <n v="43702"/>
    <n v="0.2"/>
    <n v="209769.60000000001"/>
    <n v="51586.6"/>
  </r>
  <r>
    <s v="ORD-1058"/>
    <d v="2026-01-18T00:00:00"/>
    <s v="West"/>
    <s v="Delhi"/>
    <s v="Pooja"/>
    <x v="2"/>
    <s v="Laptop"/>
    <n v="2"/>
    <n v="44838"/>
    <n v="0.02"/>
    <n v="87882.48"/>
    <n v="20680.03"/>
  </r>
  <r>
    <s v="ORD-1059"/>
    <d v="2026-06-28T00:00:00"/>
    <s v="West"/>
    <s v="Delhi"/>
    <s v="Kavya"/>
    <x v="0"/>
    <s v="Desk"/>
    <n v="3"/>
    <n v="14212"/>
    <n v="0.02"/>
    <n v="41783.279999999999"/>
    <n v="10789.68"/>
  </r>
  <r>
    <s v="ORD-1060"/>
    <d v="2026-02-25T00:00:00"/>
    <s v="West"/>
    <s v="Delhi"/>
    <s v="Swathi"/>
    <x v="2"/>
    <s v="Printer"/>
    <n v="7"/>
    <n v="11944"/>
    <n v="0.15"/>
    <n v="71066.8"/>
    <n v="25261.17"/>
  </r>
  <r>
    <s v="ORD-1061"/>
    <d v="2026-08-12T00:00:00"/>
    <s v="South"/>
    <s v="Bengaluru"/>
    <s v="Meena"/>
    <x v="0"/>
    <s v="Desk"/>
    <n v="4"/>
    <n v="11187"/>
    <n v="0.08"/>
    <n v="41168.160000000003"/>
    <n v="6313.92"/>
  </r>
  <r>
    <s v="ORD-1062"/>
    <d v="2026-05-05T00:00:00"/>
    <s v="West"/>
    <s v="Kolkata"/>
    <s v="Pooja"/>
    <x v="1"/>
    <s v="Notebook"/>
    <n v="7"/>
    <n v="272"/>
    <n v="0"/>
    <n v="1904"/>
    <n v="1042.3399999999999"/>
  </r>
  <r>
    <s v="ORD-1063"/>
    <d v="2026-07-09T00:00:00"/>
    <s v="East"/>
    <s v="Pune"/>
    <s v="Isha"/>
    <x v="0"/>
    <s v="Office Chair"/>
    <n v="5"/>
    <n v="6484"/>
    <n v="0"/>
    <n v="32420"/>
    <n v="9817.0400000000009"/>
  </r>
  <r>
    <s v="ORD-1064"/>
    <d v="2026-05-02T00:00:00"/>
    <s v="East"/>
    <s v="Hyderabad"/>
    <s v="Meena"/>
    <x v="2"/>
    <s v="Smartphone"/>
    <n v="2"/>
    <n v="32286"/>
    <n v="0.05"/>
    <n v="61343.4"/>
    <n v="13856.18"/>
  </r>
  <r>
    <s v="ORD-1065"/>
    <d v="2026-09-22T00:00:00"/>
    <s v="East"/>
    <s v="Mumbai"/>
    <s v="Varun"/>
    <x v="0"/>
    <s v="Desk"/>
    <n v="6"/>
    <n v="13349"/>
    <n v="0.2"/>
    <n v="64075.199999999997"/>
    <n v="17322.66"/>
  </r>
  <r>
    <s v="ORD-1066"/>
    <d v="2026-02-14T00:00:00"/>
    <s v="West"/>
    <s v="Pune"/>
    <s v="Varun"/>
    <x v="2"/>
    <s v="Smartphone"/>
    <n v="6"/>
    <n v="44069"/>
    <n v="0.15"/>
    <n v="224751.9"/>
    <n v="85116.61"/>
  </r>
  <r>
    <s v="ORD-1067"/>
    <d v="2026-02-14T00:00:00"/>
    <s v="West"/>
    <s v="Kolkata"/>
    <s v="Isha"/>
    <x v="0"/>
    <s v="Desk"/>
    <n v="6"/>
    <n v="15773"/>
    <n v="0.15"/>
    <n v="80442.3"/>
    <n v="16811.71"/>
  </r>
  <r>
    <s v="ORD-1068"/>
    <d v="2026-07-25T00:00:00"/>
    <s v="East"/>
    <s v="Bengaluru"/>
    <s v="Ananya"/>
    <x v="0"/>
    <s v="Desk"/>
    <n v="2"/>
    <n v="7530"/>
    <n v="0.05"/>
    <n v="14307"/>
    <n v="2842.66"/>
  </r>
  <r>
    <s v="ORD-1069"/>
    <d v="2026-06-08T00:00:00"/>
    <s v="East"/>
    <s v="Chennai"/>
    <s v="Meena"/>
    <x v="0"/>
    <s v="Bookshelf"/>
    <n v="5"/>
    <n v="7188"/>
    <n v="0.02"/>
    <n v="35221.199999999997"/>
    <n v="9082.36"/>
  </r>
  <r>
    <s v="ORD-1070"/>
    <d v="2026-05-26T00:00:00"/>
    <s v="West"/>
    <s v="Kolkata"/>
    <s v="Swathi"/>
    <x v="0"/>
    <s v="Conference Table"/>
    <n v="5"/>
    <n v="12029"/>
    <n v="0.15"/>
    <n v="51123.25"/>
    <n v="10894.89"/>
  </r>
  <r>
    <s v="ORD-1071"/>
    <d v="2026-01-28T00:00:00"/>
    <s v="West"/>
    <s v="Chennai"/>
    <s v="Swathi"/>
    <x v="0"/>
    <s v="Filing Cabinet"/>
    <n v="6"/>
    <n v="5735"/>
    <n v="0.2"/>
    <n v="27528"/>
    <n v="5888.72"/>
  </r>
  <r>
    <s v="ORD-1072"/>
    <d v="2026-08-31T00:00:00"/>
    <s v="North"/>
    <s v="Pune"/>
    <s v="Ananya"/>
    <x v="1"/>
    <s v="Stapler"/>
    <n v="4"/>
    <n v="333"/>
    <n v="0"/>
    <n v="1332"/>
    <n v="712.7"/>
  </r>
  <r>
    <s v="ORD-1073"/>
    <d v="2026-06-03T00:00:00"/>
    <s v="West"/>
    <s v="Kolkata"/>
    <s v="Sanjay"/>
    <x v="1"/>
    <s v="Paper Pack"/>
    <n v="6"/>
    <n v="750"/>
    <n v="0.08"/>
    <n v="4140"/>
    <n v="2044.56"/>
  </r>
  <r>
    <s v="ORD-1074"/>
    <d v="2026-06-28T00:00:00"/>
    <s v="East"/>
    <s v="Chennai"/>
    <s v="Priya"/>
    <x v="0"/>
    <s v="Bookshelf"/>
    <n v="4"/>
    <n v="4711"/>
    <n v="0"/>
    <n v="18844"/>
    <n v="2904.56"/>
  </r>
  <r>
    <s v="ORD-1075"/>
    <d v="2026-07-11T00:00:00"/>
    <s v="East"/>
    <s v="Bengaluru"/>
    <s v="Arjun"/>
    <x v="1"/>
    <s v="Notebook"/>
    <n v="5"/>
    <n v="293"/>
    <n v="0.15"/>
    <n v="1245.25"/>
    <n v="467.37"/>
  </r>
  <r>
    <s v="ORD-1076"/>
    <d v="2026-09-08T00:00:00"/>
    <s v="South"/>
    <s v="Mumbai"/>
    <s v="Rohit"/>
    <x v="0"/>
    <s v="Desk"/>
    <n v="5"/>
    <n v="11356"/>
    <n v="0.15"/>
    <n v="48263"/>
    <n v="14761.52"/>
  </r>
  <r>
    <s v="ORD-1077"/>
    <d v="2026-07-16T00:00:00"/>
    <s v="North"/>
    <s v="Hyderabad"/>
    <s v="Varun"/>
    <x v="2"/>
    <s v="Monitor"/>
    <n v="4"/>
    <n v="18361"/>
    <n v="0.08"/>
    <n v="67568.479999999996"/>
    <n v="15175.34"/>
  </r>
  <r>
    <s v="ORD-1078"/>
    <d v="2026-08-17T00:00:00"/>
    <s v="West"/>
    <s v="Hyderabad"/>
    <s v="Isha"/>
    <x v="0"/>
    <s v="Office Chair"/>
    <n v="4"/>
    <n v="6633"/>
    <n v="0.08"/>
    <n v="24409.439999999999"/>
    <n v="4415.59"/>
  </r>
  <r>
    <s v="ORD-1079"/>
    <d v="2026-02-17T00:00:00"/>
    <s v="East"/>
    <s v="Kolkata"/>
    <s v="Ravi"/>
    <x v="1"/>
    <s v="Paper Pack"/>
    <n v="1"/>
    <n v="377"/>
    <n v="0.2"/>
    <n v="301.60000000000002"/>
    <n v="113.05"/>
  </r>
  <r>
    <s v="ORD-1080"/>
    <d v="2026-08-11T00:00:00"/>
    <s v="South"/>
    <s v="Chennai"/>
    <s v="Swathi"/>
    <x v="1"/>
    <s v="Notebook"/>
    <n v="5"/>
    <n v="328"/>
    <n v="0"/>
    <n v="1640"/>
    <n v="572.17999999999995"/>
  </r>
  <r>
    <s v="ORD-1081"/>
    <d v="2026-02-21T00:00:00"/>
    <s v="South"/>
    <s v="Delhi"/>
    <s v="Sanjay"/>
    <x v="2"/>
    <s v="Laptop"/>
    <n v="1"/>
    <n v="51322"/>
    <n v="0.02"/>
    <n v="50295.56"/>
    <n v="19108.71"/>
  </r>
  <r>
    <s v="ORD-1082"/>
    <d v="2026-01-20T00:00:00"/>
    <s v="North"/>
    <s v="Vijayawada"/>
    <s v="Aditya"/>
    <x v="2"/>
    <s v="Monitor"/>
    <n v="3"/>
    <n v="9739"/>
    <n v="0"/>
    <n v="29217"/>
    <n v="11051.28"/>
  </r>
  <r>
    <s v="ORD-1083"/>
    <d v="2026-03-05T00:00:00"/>
    <s v="North"/>
    <s v="Bengaluru"/>
    <s v="Ananya"/>
    <x v="0"/>
    <s v="Office Chair"/>
    <n v="6"/>
    <n v="10746"/>
    <n v="0"/>
    <n v="64476"/>
    <n v="15390.48"/>
  </r>
  <r>
    <s v="ORD-1084"/>
    <d v="2026-01-03T00:00:00"/>
    <s v="East"/>
    <s v="Pune"/>
    <s v="Rahul"/>
    <x v="1"/>
    <s v="Paper Pack"/>
    <n v="2"/>
    <n v="526"/>
    <n v="0.2"/>
    <n v="841.6"/>
    <n v="430.13"/>
  </r>
  <r>
    <s v="ORD-1085"/>
    <d v="2026-09-27T00:00:00"/>
    <s v="North"/>
    <s v="Bengaluru"/>
    <s v="Arjun"/>
    <x v="1"/>
    <s v="Stapler"/>
    <n v="1"/>
    <n v="126"/>
    <n v="0.2"/>
    <n v="100.8"/>
    <n v="41.44"/>
  </r>
  <r>
    <s v="ORD-1086"/>
    <d v="2026-09-19T00:00:00"/>
    <s v="West"/>
    <s v="Delhi"/>
    <s v="Neha"/>
    <x v="2"/>
    <s v="Headphones"/>
    <n v="4"/>
    <n v="5826"/>
    <n v="0.08"/>
    <n v="21439.68"/>
    <n v="6569.06"/>
  </r>
  <r>
    <s v="ORD-1087"/>
    <d v="2026-06-13T00:00:00"/>
    <s v="West"/>
    <s v="Pune"/>
    <s v="Ravi"/>
    <x v="0"/>
    <s v="Bookshelf"/>
    <n v="1"/>
    <n v="6717"/>
    <n v="0.02"/>
    <n v="6582.66"/>
    <n v="1825.16"/>
  </r>
  <r>
    <s v="ORD-1088"/>
    <d v="2026-09-10T00:00:00"/>
    <s v="West"/>
    <s v="Delhi"/>
    <s v="Sneha"/>
    <x v="1"/>
    <s v="Calculator"/>
    <n v="7"/>
    <n v="774"/>
    <n v="0.1"/>
    <n v="4876.2"/>
    <n v="2567.21"/>
  </r>
  <r>
    <s v="ORD-1089"/>
    <d v="2026-07-10T00:00:00"/>
    <s v="South"/>
    <s v="Mumbai"/>
    <s v="Aditya"/>
    <x v="0"/>
    <s v="Filing Cabinet"/>
    <n v="7"/>
    <n v="5031"/>
    <n v="0.02"/>
    <n v="34512.660000000003"/>
    <n v="10492.96"/>
  </r>
  <r>
    <s v="ORD-1090"/>
    <d v="2026-06-26T00:00:00"/>
    <s v="West"/>
    <s v="Mumbai"/>
    <s v="Ananya"/>
    <x v="2"/>
    <s v="Monitor"/>
    <n v="6"/>
    <n v="16442"/>
    <n v="0.1"/>
    <n v="88786.8"/>
    <n v="31085.5"/>
  </r>
  <r>
    <s v="ORD-1091"/>
    <d v="2026-06-22T00:00:00"/>
    <s v="South"/>
    <s v="Mumbai"/>
    <s v="Priya"/>
    <x v="2"/>
    <s v="Headphones"/>
    <n v="5"/>
    <n v="1218"/>
    <n v="0.05"/>
    <n v="5785.5"/>
    <n v="1577.67"/>
  </r>
  <r>
    <s v="ORD-1092"/>
    <d v="2026-01-18T00:00:00"/>
    <s v="West"/>
    <s v="Kolkata"/>
    <s v="Kiran"/>
    <x v="1"/>
    <s v="File Folder"/>
    <n v="6"/>
    <n v="237"/>
    <n v="0.15"/>
    <n v="1208.7"/>
    <n v="484.97"/>
  </r>
  <r>
    <s v="ORD-1093"/>
    <d v="2026-09-27T00:00:00"/>
    <s v="South"/>
    <s v="Vijayawada"/>
    <s v="Swathi"/>
    <x v="1"/>
    <s v="File Folder"/>
    <n v="4"/>
    <n v="132"/>
    <n v="0.2"/>
    <n v="422.4"/>
    <n v="157.88999999999999"/>
  </r>
  <r>
    <s v="ORD-1094"/>
    <d v="2026-02-04T00:00:00"/>
    <s v="East"/>
    <s v="Hyderabad"/>
    <s v="Aditya"/>
    <x v="0"/>
    <s v="Desk"/>
    <n v="1"/>
    <n v="10557"/>
    <n v="0.02"/>
    <n v="10345.86"/>
    <n v="1853.2"/>
  </r>
  <r>
    <s v="ORD-1095"/>
    <d v="2026-05-29T00:00:00"/>
    <s v="South"/>
    <s v="Bengaluru"/>
    <s v="Vikram"/>
    <x v="1"/>
    <s v="Stapler"/>
    <n v="6"/>
    <n v="142"/>
    <n v="0.08"/>
    <n v="783.84"/>
    <n v="327.51"/>
  </r>
  <r>
    <s v="ORD-1096"/>
    <d v="2026-05-07T00:00:00"/>
    <s v="North"/>
    <s v="Delhi"/>
    <s v="Ravi"/>
    <x v="2"/>
    <s v="Monitor"/>
    <n v="1"/>
    <n v="11588"/>
    <n v="0.15"/>
    <n v="9849.7999999999993"/>
    <n v="3368.83"/>
  </r>
  <r>
    <s v="ORD-1097"/>
    <d v="2026-06-20T00:00:00"/>
    <s v="West"/>
    <s v="Chennai"/>
    <s v="Isha"/>
    <x v="1"/>
    <s v="Calculator"/>
    <n v="4"/>
    <n v="905"/>
    <n v="0.1"/>
    <n v="3258"/>
    <n v="1628.99"/>
  </r>
  <r>
    <s v="ORD-1098"/>
    <d v="2026-05-25T00:00:00"/>
    <s v="East"/>
    <s v="Chennai"/>
    <s v="Isha"/>
    <x v="2"/>
    <s v="Keyboard"/>
    <n v="3"/>
    <n v="2977"/>
    <n v="0.15"/>
    <n v="7591.35"/>
    <n v="2693.65"/>
  </r>
  <r>
    <s v="ORD-1099"/>
    <d v="2026-06-19T00:00:00"/>
    <s v="West"/>
    <s v="Kolkata"/>
    <s v="Kavya"/>
    <x v="2"/>
    <s v="Printer"/>
    <n v="7"/>
    <n v="9047"/>
    <n v="0.2"/>
    <n v="50663.199999999997"/>
    <n v="13464.8"/>
  </r>
  <r>
    <s v="ORD-1100"/>
    <d v="2026-06-10T00:00:00"/>
    <s v="South"/>
    <s v="Mumbai"/>
    <s v="Rahul"/>
    <x v="1"/>
    <s v="Stapler"/>
    <n v="6"/>
    <n v="328"/>
    <n v="0.2"/>
    <n v="1574.4"/>
    <n v="628.9"/>
  </r>
  <r>
    <s v="ORD-1101"/>
    <d v="2026-04-17T00:00:00"/>
    <s v="South"/>
    <s v="Hyderabad"/>
    <s v="Ravi"/>
    <x v="0"/>
    <s v="Conference Table"/>
    <n v="2"/>
    <n v="33545"/>
    <n v="0.05"/>
    <n v="63735.5"/>
    <n v="11436.84"/>
  </r>
  <r>
    <s v="ORD-1102"/>
    <d v="2026-03-01T00:00:00"/>
    <s v="South"/>
    <s v="Vijayawada"/>
    <s v="Neha"/>
    <x v="1"/>
    <s v="Pen Set"/>
    <n v="8"/>
    <n v="133"/>
    <n v="0.2"/>
    <n v="851.2"/>
    <n v="457.27"/>
  </r>
  <r>
    <s v="ORD-1103"/>
    <d v="2026-01-28T00:00:00"/>
    <s v="North"/>
    <s v="Pune"/>
    <s v="Sanjay"/>
    <x v="1"/>
    <s v="Paper Pack"/>
    <n v="3"/>
    <n v="885"/>
    <n v="0"/>
    <n v="2655"/>
    <n v="1163.33"/>
  </r>
  <r>
    <s v="ORD-1104"/>
    <d v="2026-07-03T00:00:00"/>
    <s v="South"/>
    <s v="Pune"/>
    <s v="Rahul"/>
    <x v="1"/>
    <s v="Paper Pack"/>
    <n v="1"/>
    <n v="534"/>
    <n v="0.1"/>
    <n v="480.6"/>
    <n v="184.52"/>
  </r>
  <r>
    <s v="ORD-1105"/>
    <d v="2026-06-16T00:00:00"/>
    <s v="West"/>
    <s v="Mumbai"/>
    <s v="Sanjay"/>
    <x v="0"/>
    <s v="Office Chair"/>
    <n v="1"/>
    <n v="10362"/>
    <n v="0.05"/>
    <n v="9843.9"/>
    <n v="2874.12"/>
  </r>
  <r>
    <s v="ORD-1106"/>
    <d v="2026-04-02T00:00:00"/>
    <s v="East"/>
    <s v="Bengaluru"/>
    <s v="Swathi"/>
    <x v="0"/>
    <s v="Bookshelf"/>
    <n v="6"/>
    <n v="8917"/>
    <n v="0.15"/>
    <n v="45476.7"/>
    <n v="11078.16"/>
  </r>
  <r>
    <s v="ORD-1107"/>
    <d v="2026-07-06T00:00:00"/>
    <s v="East"/>
    <s v="Mumbai"/>
    <s v="Swathi"/>
    <x v="1"/>
    <s v="Pen Set"/>
    <n v="5"/>
    <n v="196"/>
    <n v="0.1"/>
    <n v="882"/>
    <n v="288.27"/>
  </r>
  <r>
    <s v="ORD-1108"/>
    <d v="2026-08-26T00:00:00"/>
    <s v="North"/>
    <s v="Mumbai"/>
    <s v="Ravi"/>
    <x v="1"/>
    <s v="Notebook"/>
    <n v="4"/>
    <n v="277"/>
    <n v="0.05"/>
    <n v="1052.5999999999999"/>
    <n v="506.2"/>
  </r>
  <r>
    <s v="ORD-1109"/>
    <d v="2026-08-03T00:00:00"/>
    <s v="North"/>
    <s v="Chennai"/>
    <s v="Kavya"/>
    <x v="0"/>
    <s v="Conference Table"/>
    <n v="5"/>
    <n v="13804"/>
    <n v="0.2"/>
    <n v="55216"/>
    <n v="13125.32"/>
  </r>
  <r>
    <s v="ORD-1110"/>
    <d v="2026-08-20T00:00:00"/>
    <s v="South"/>
    <s v="Hyderabad"/>
    <s v="Varun"/>
    <x v="0"/>
    <s v="Office Chair"/>
    <n v="6"/>
    <n v="4391"/>
    <n v="0.02"/>
    <n v="25819.08"/>
    <n v="4179.49"/>
  </r>
  <r>
    <s v="ORD-1111"/>
    <d v="2026-08-06T00:00:00"/>
    <s v="East"/>
    <s v="Pune"/>
    <s v="Aarav"/>
    <x v="2"/>
    <s v="Smartphone"/>
    <n v="3"/>
    <n v="39820"/>
    <n v="0.02"/>
    <n v="117070.8"/>
    <n v="35126.6"/>
  </r>
  <r>
    <s v="ORD-1112"/>
    <d v="2026-03-23T00:00:00"/>
    <s v="North"/>
    <s v="Mumbai"/>
    <s v="Kiran"/>
    <x v="2"/>
    <s v="Laptop"/>
    <n v="2"/>
    <n v="43119"/>
    <n v="0"/>
    <n v="86238"/>
    <n v="20450.759999999998"/>
  </r>
  <r>
    <s v="ORD-1113"/>
    <d v="2026-07-14T00:00:00"/>
    <s v="East"/>
    <s v="Pune"/>
    <s v="Neha"/>
    <x v="1"/>
    <s v="Paper Pack"/>
    <n v="5"/>
    <n v="403"/>
    <n v="0"/>
    <n v="2015"/>
    <n v="1094.02"/>
  </r>
  <r>
    <s v="ORD-1114"/>
    <d v="2026-07-27T00:00:00"/>
    <s v="South"/>
    <s v="Mumbai"/>
    <s v="Swathi"/>
    <x v="0"/>
    <s v="Conference Table"/>
    <n v="8"/>
    <n v="25365"/>
    <n v="0"/>
    <n v="202920"/>
    <n v="53755.17"/>
  </r>
  <r>
    <s v="ORD-1115"/>
    <d v="2026-03-25T00:00:00"/>
    <s v="North"/>
    <s v="Delhi"/>
    <s v="Varun"/>
    <x v="2"/>
    <s v="Keyboard"/>
    <n v="2"/>
    <n v="2788"/>
    <n v="0"/>
    <n v="5576"/>
    <n v="1420.51"/>
  </r>
  <r>
    <s v="ORD-1116"/>
    <d v="2026-04-27T00:00:00"/>
    <s v="North"/>
    <s v="Mumbai"/>
    <s v="Meena"/>
    <x v="2"/>
    <s v="Smartphone"/>
    <n v="8"/>
    <n v="20478"/>
    <n v="0"/>
    <n v="163824"/>
    <n v="52818.31"/>
  </r>
  <r>
    <s v="ORD-1117"/>
    <d v="2026-09-07T00:00:00"/>
    <s v="West"/>
    <s v="Mumbai"/>
    <s v="Pooja"/>
    <x v="1"/>
    <s v="Pen Set"/>
    <n v="3"/>
    <n v="396"/>
    <n v="0"/>
    <n v="1188"/>
    <n v="384.2"/>
  </r>
  <r>
    <s v="ORD-1118"/>
    <d v="2026-05-21T00:00:00"/>
    <s v="North"/>
    <s v="Kolkata"/>
    <s v="Divya"/>
    <x v="2"/>
    <s v="Headphones"/>
    <n v="2"/>
    <n v="1466"/>
    <n v="0.08"/>
    <n v="2697.44"/>
    <n v="749.26"/>
  </r>
  <r>
    <s v="ORD-1119"/>
    <d v="2026-07-01T00:00:00"/>
    <s v="East"/>
    <s v="Kolkata"/>
    <s v="Divya"/>
    <x v="1"/>
    <s v="Notebook"/>
    <n v="7"/>
    <n v="112"/>
    <n v="0.02"/>
    <n v="768.32"/>
    <n v="387.29"/>
  </r>
  <r>
    <s v="ORD-1120"/>
    <d v="2026-08-28T00:00:00"/>
    <s v="North"/>
    <s v="Hyderabad"/>
    <s v="Sanjay"/>
    <x v="0"/>
    <s v="Filing Cabinet"/>
    <n v="7"/>
    <n v="8777"/>
    <n v="0.1"/>
    <n v="55295.1"/>
    <n v="12897.92"/>
  </r>
  <r>
    <s v="ORD-1121"/>
    <d v="2026-03-09T00:00:00"/>
    <s v="North"/>
    <s v="Hyderabad"/>
    <s v="Meena"/>
    <x v="1"/>
    <s v="Stapler"/>
    <n v="5"/>
    <n v="335"/>
    <n v="0"/>
    <n v="1675"/>
    <n v="835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69A6B-1FC7-4896-B102-C1909126397E}" name="PivotTable4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6" rowHeaderCaption="Category">
  <location ref="B12:D16" firstHeaderRow="0" firstDataRow="1" firstDataCol="1"/>
  <pivotFields count="12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1" baseField="0" baseItem="0"/>
    <dataField name="Average of Profit" fld="11" subtotal="average" baseField="0" baseItem="0"/>
  </dataFields>
  <formats count="3">
    <format dxfId="10">
      <pivotArea field="5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/>
    </format>
  </format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184AE-B670-4E4D-A5A8-5A6CA79D865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B3:C7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Sales" fld="10" baseField="0" baseItem="0" numFmtId="44"/>
  </dataFields>
  <formats count="3">
    <format dxfId="15">
      <pivotArea outline="0" collapsedLevelsAreSubtotals="1" fieldPosition="0"/>
    </format>
    <format dxfId="14">
      <pivotArea field="5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4058A-2FBD-4293-BF16-6084C6632201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ategory">
  <location ref="B5:D9" firstHeaderRow="0" firstDataRow="1" firstDataCol="1"/>
  <pivotFields count="12">
    <pivotField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5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0" baseItem="0"/>
    <dataField name="Total Profit" fld="11" baseField="0" baseItem="0"/>
  </dataFields>
  <formats count="1">
    <format dxfId="0">
      <pivotArea outline="0" collapsedLevelsAreSubtotals="1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DE75-B355-4A5B-80E7-4E4FC7B4650A}">
  <dimension ref="A1:L121"/>
  <sheetViews>
    <sheetView workbookViewId="0">
      <selection activeCell="B12" sqref="A1:L121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6.44140625" bestFit="1" customWidth="1"/>
    <col min="4" max="4" width="10.109375" bestFit="1" customWidth="1"/>
    <col min="5" max="5" width="14.21875" bestFit="1" customWidth="1"/>
    <col min="6" max="6" width="13.109375" bestFit="1" customWidth="1"/>
    <col min="7" max="7" width="15.21875" bestFit="1" customWidth="1"/>
    <col min="8" max="8" width="7.6640625" bestFit="1" customWidth="1"/>
    <col min="9" max="9" width="8.77734375" bestFit="1" customWidth="1"/>
    <col min="10" max="10" width="8.109375" bestFit="1" customWidth="1"/>
    <col min="11" max="12" width="10" bestFit="1" customWidth="1"/>
  </cols>
  <sheetData>
    <row r="1" spans="1:12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s="1">
        <v>46025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27744</v>
      </c>
      <c r="J2">
        <v>0.08</v>
      </c>
      <c r="K2">
        <v>127622.39999999999</v>
      </c>
      <c r="L2">
        <v>35632.68</v>
      </c>
    </row>
    <row r="3" spans="1:12" x14ac:dyDescent="0.3">
      <c r="A3" t="s">
        <v>18</v>
      </c>
      <c r="B3" s="1">
        <v>46095</v>
      </c>
      <c r="C3" t="s">
        <v>19</v>
      </c>
      <c r="D3" t="s">
        <v>20</v>
      </c>
      <c r="E3" t="s">
        <v>15</v>
      </c>
      <c r="F3" t="s">
        <v>21</v>
      </c>
      <c r="G3" t="s">
        <v>22</v>
      </c>
      <c r="H3">
        <v>5</v>
      </c>
      <c r="I3">
        <v>105</v>
      </c>
      <c r="J3">
        <v>0.05</v>
      </c>
      <c r="K3">
        <v>498.75</v>
      </c>
      <c r="L3">
        <v>180.83</v>
      </c>
    </row>
    <row r="4" spans="1:12" x14ac:dyDescent="0.3">
      <c r="A4" t="s">
        <v>23</v>
      </c>
      <c r="B4" s="1">
        <v>46037</v>
      </c>
      <c r="C4" t="s">
        <v>13</v>
      </c>
      <c r="D4" t="s">
        <v>24</v>
      </c>
      <c r="E4" t="s">
        <v>25</v>
      </c>
      <c r="F4" t="s">
        <v>21</v>
      </c>
      <c r="G4" t="s">
        <v>26</v>
      </c>
      <c r="H4">
        <v>3</v>
      </c>
      <c r="I4">
        <v>130</v>
      </c>
      <c r="J4">
        <v>0.2</v>
      </c>
      <c r="K4">
        <v>312</v>
      </c>
      <c r="L4">
        <v>128.11000000000001</v>
      </c>
    </row>
    <row r="5" spans="1:12" x14ac:dyDescent="0.3">
      <c r="A5" t="s">
        <v>27</v>
      </c>
      <c r="B5" s="1">
        <v>46155</v>
      </c>
      <c r="C5" t="s">
        <v>13</v>
      </c>
      <c r="D5" t="s">
        <v>28</v>
      </c>
      <c r="E5" t="s">
        <v>29</v>
      </c>
      <c r="F5" t="s">
        <v>21</v>
      </c>
      <c r="G5" t="s">
        <v>30</v>
      </c>
      <c r="H5">
        <v>4</v>
      </c>
      <c r="I5">
        <v>135</v>
      </c>
      <c r="J5">
        <v>0.2</v>
      </c>
      <c r="K5">
        <v>432</v>
      </c>
      <c r="L5">
        <v>206.82</v>
      </c>
    </row>
    <row r="6" spans="1:12" x14ac:dyDescent="0.3">
      <c r="A6" t="s">
        <v>31</v>
      </c>
      <c r="B6" s="1">
        <v>46045</v>
      </c>
      <c r="C6" t="s">
        <v>19</v>
      </c>
      <c r="D6" t="s">
        <v>28</v>
      </c>
      <c r="E6" t="s">
        <v>32</v>
      </c>
      <c r="F6" t="s">
        <v>16</v>
      </c>
      <c r="G6" t="s">
        <v>17</v>
      </c>
      <c r="H6">
        <v>3</v>
      </c>
      <c r="I6">
        <v>28932</v>
      </c>
      <c r="J6">
        <v>0.1</v>
      </c>
      <c r="K6">
        <v>78116.399999999994</v>
      </c>
      <c r="L6">
        <v>20877.080000000002</v>
      </c>
    </row>
    <row r="7" spans="1:12" x14ac:dyDescent="0.3">
      <c r="A7" t="s">
        <v>33</v>
      </c>
      <c r="B7" s="1">
        <v>46185</v>
      </c>
      <c r="C7" t="s">
        <v>13</v>
      </c>
      <c r="D7" t="s">
        <v>24</v>
      </c>
      <c r="E7" t="s">
        <v>34</v>
      </c>
      <c r="F7" t="s">
        <v>21</v>
      </c>
      <c r="G7" t="s">
        <v>26</v>
      </c>
      <c r="H7">
        <v>8</v>
      </c>
      <c r="I7">
        <v>240</v>
      </c>
      <c r="J7">
        <v>0.02</v>
      </c>
      <c r="K7">
        <v>1881.6</v>
      </c>
      <c r="L7">
        <v>901.21</v>
      </c>
    </row>
    <row r="8" spans="1:12" x14ac:dyDescent="0.3">
      <c r="A8" t="s">
        <v>35</v>
      </c>
      <c r="B8" s="1">
        <v>46274</v>
      </c>
      <c r="C8" t="s">
        <v>36</v>
      </c>
      <c r="D8" t="s">
        <v>24</v>
      </c>
      <c r="E8" t="s">
        <v>37</v>
      </c>
      <c r="F8" t="s">
        <v>38</v>
      </c>
      <c r="G8" t="s">
        <v>39</v>
      </c>
      <c r="H8">
        <v>1</v>
      </c>
      <c r="I8">
        <v>5150</v>
      </c>
      <c r="J8">
        <v>0.08</v>
      </c>
      <c r="K8">
        <v>4738</v>
      </c>
      <c r="L8">
        <v>1161.81</v>
      </c>
    </row>
    <row r="9" spans="1:12" x14ac:dyDescent="0.3">
      <c r="A9" t="s">
        <v>40</v>
      </c>
      <c r="B9" s="1">
        <v>46096</v>
      </c>
      <c r="C9" t="s">
        <v>41</v>
      </c>
      <c r="D9" t="s">
        <v>42</v>
      </c>
      <c r="E9" t="s">
        <v>29</v>
      </c>
      <c r="F9" t="s">
        <v>16</v>
      </c>
      <c r="G9" t="s">
        <v>43</v>
      </c>
      <c r="H9">
        <v>8</v>
      </c>
      <c r="I9">
        <v>3640</v>
      </c>
      <c r="J9">
        <v>0.15</v>
      </c>
      <c r="K9">
        <v>24752</v>
      </c>
      <c r="L9">
        <v>7819.26</v>
      </c>
    </row>
    <row r="10" spans="1:12" x14ac:dyDescent="0.3">
      <c r="A10" t="s">
        <v>44</v>
      </c>
      <c r="B10" s="1">
        <v>46284</v>
      </c>
      <c r="C10" t="s">
        <v>36</v>
      </c>
      <c r="D10" t="s">
        <v>45</v>
      </c>
      <c r="E10" t="s">
        <v>46</v>
      </c>
      <c r="F10" t="s">
        <v>38</v>
      </c>
      <c r="G10" t="s">
        <v>47</v>
      </c>
      <c r="H10">
        <v>7</v>
      </c>
      <c r="I10">
        <v>7704</v>
      </c>
      <c r="J10">
        <v>0.1</v>
      </c>
      <c r="K10">
        <v>48535.199999999997</v>
      </c>
      <c r="L10">
        <v>15963.23</v>
      </c>
    </row>
    <row r="11" spans="1:12" x14ac:dyDescent="0.3">
      <c r="A11" t="s">
        <v>48</v>
      </c>
      <c r="B11" s="1">
        <v>46046</v>
      </c>
      <c r="C11" t="s">
        <v>36</v>
      </c>
      <c r="D11" t="s">
        <v>20</v>
      </c>
      <c r="E11" t="s">
        <v>49</v>
      </c>
      <c r="F11" t="s">
        <v>38</v>
      </c>
      <c r="G11" t="s">
        <v>39</v>
      </c>
      <c r="H11">
        <v>2</v>
      </c>
      <c r="I11">
        <v>1962</v>
      </c>
      <c r="J11">
        <v>0.02</v>
      </c>
      <c r="K11">
        <v>3845.52</v>
      </c>
      <c r="L11">
        <v>1455.67</v>
      </c>
    </row>
    <row r="12" spans="1:12" x14ac:dyDescent="0.3">
      <c r="A12" t="s">
        <v>50</v>
      </c>
      <c r="B12" s="1">
        <v>46145</v>
      </c>
      <c r="C12" t="s">
        <v>41</v>
      </c>
      <c r="D12" t="s">
        <v>28</v>
      </c>
      <c r="E12" t="s">
        <v>37</v>
      </c>
      <c r="F12" t="s">
        <v>38</v>
      </c>
      <c r="G12" t="s">
        <v>39</v>
      </c>
      <c r="H12">
        <v>4</v>
      </c>
      <c r="I12">
        <v>3292</v>
      </c>
      <c r="J12">
        <v>0.02</v>
      </c>
      <c r="K12">
        <v>12904.64</v>
      </c>
      <c r="L12">
        <v>3701.85</v>
      </c>
    </row>
    <row r="13" spans="1:12" x14ac:dyDescent="0.3">
      <c r="A13" t="s">
        <v>51</v>
      </c>
      <c r="B13" s="1">
        <v>46260</v>
      </c>
      <c r="C13" t="s">
        <v>13</v>
      </c>
      <c r="D13" t="s">
        <v>24</v>
      </c>
      <c r="E13" t="s">
        <v>52</v>
      </c>
      <c r="F13" t="s">
        <v>21</v>
      </c>
      <c r="G13" t="s">
        <v>22</v>
      </c>
      <c r="H13">
        <v>7</v>
      </c>
      <c r="I13">
        <v>237</v>
      </c>
      <c r="J13">
        <v>0.08</v>
      </c>
      <c r="K13">
        <v>1526.28</v>
      </c>
      <c r="L13">
        <v>825.91</v>
      </c>
    </row>
    <row r="14" spans="1:12" x14ac:dyDescent="0.3">
      <c r="A14" t="s">
        <v>53</v>
      </c>
      <c r="B14" s="1">
        <v>46280</v>
      </c>
      <c r="C14" t="s">
        <v>13</v>
      </c>
      <c r="D14" t="s">
        <v>28</v>
      </c>
      <c r="E14" t="s">
        <v>54</v>
      </c>
      <c r="F14" t="s">
        <v>38</v>
      </c>
      <c r="G14" t="s">
        <v>55</v>
      </c>
      <c r="H14">
        <v>4</v>
      </c>
      <c r="I14">
        <v>42993</v>
      </c>
      <c r="J14">
        <v>0.08</v>
      </c>
      <c r="K14">
        <v>158214.24</v>
      </c>
      <c r="L14">
        <v>43232.68</v>
      </c>
    </row>
    <row r="15" spans="1:12" x14ac:dyDescent="0.3">
      <c r="A15" t="s">
        <v>56</v>
      </c>
      <c r="B15" s="1">
        <v>46245</v>
      </c>
      <c r="C15" t="s">
        <v>41</v>
      </c>
      <c r="D15" t="s">
        <v>42</v>
      </c>
      <c r="E15" t="s">
        <v>15</v>
      </c>
      <c r="F15" t="s">
        <v>38</v>
      </c>
      <c r="G15" t="s">
        <v>57</v>
      </c>
      <c r="H15">
        <v>2</v>
      </c>
      <c r="I15">
        <v>3490</v>
      </c>
      <c r="J15">
        <v>0.05</v>
      </c>
      <c r="K15">
        <v>6631</v>
      </c>
      <c r="L15">
        <v>2396.84</v>
      </c>
    </row>
    <row r="16" spans="1:12" x14ac:dyDescent="0.3">
      <c r="A16" t="s">
        <v>58</v>
      </c>
      <c r="B16" s="1">
        <v>46117</v>
      </c>
      <c r="C16" t="s">
        <v>19</v>
      </c>
      <c r="D16" t="s">
        <v>24</v>
      </c>
      <c r="E16" t="s">
        <v>59</v>
      </c>
      <c r="F16" t="s">
        <v>38</v>
      </c>
      <c r="G16" t="s">
        <v>60</v>
      </c>
      <c r="H16">
        <v>7</v>
      </c>
      <c r="I16">
        <v>31226</v>
      </c>
      <c r="J16">
        <v>0.1</v>
      </c>
      <c r="K16">
        <v>196723.8</v>
      </c>
      <c r="L16">
        <v>67676.899999999994</v>
      </c>
    </row>
    <row r="17" spans="1:12" x14ac:dyDescent="0.3">
      <c r="A17" t="s">
        <v>61</v>
      </c>
      <c r="B17" s="1">
        <v>46178</v>
      </c>
      <c r="C17" t="s">
        <v>19</v>
      </c>
      <c r="D17" t="s">
        <v>28</v>
      </c>
      <c r="E17" t="s">
        <v>34</v>
      </c>
      <c r="F17" t="s">
        <v>16</v>
      </c>
      <c r="G17" t="s">
        <v>62</v>
      </c>
      <c r="H17">
        <v>7</v>
      </c>
      <c r="I17">
        <v>15784</v>
      </c>
      <c r="J17">
        <v>0.2</v>
      </c>
      <c r="K17">
        <v>88390.399999999994</v>
      </c>
      <c r="L17">
        <v>27935.51</v>
      </c>
    </row>
    <row r="18" spans="1:12" x14ac:dyDescent="0.3">
      <c r="A18" t="s">
        <v>63</v>
      </c>
      <c r="B18" s="1">
        <v>46280</v>
      </c>
      <c r="C18" t="s">
        <v>41</v>
      </c>
      <c r="D18" t="s">
        <v>24</v>
      </c>
      <c r="E18" t="s">
        <v>64</v>
      </c>
      <c r="F18" t="s">
        <v>16</v>
      </c>
      <c r="G18" t="s">
        <v>17</v>
      </c>
      <c r="H18">
        <v>8</v>
      </c>
      <c r="I18">
        <v>19915</v>
      </c>
      <c r="J18">
        <v>0.02</v>
      </c>
      <c r="K18">
        <v>156133.6</v>
      </c>
      <c r="L18">
        <v>33395.99</v>
      </c>
    </row>
    <row r="19" spans="1:12" x14ac:dyDescent="0.3">
      <c r="A19" t="s">
        <v>65</v>
      </c>
      <c r="B19" s="1">
        <v>46277</v>
      </c>
      <c r="C19" t="s">
        <v>36</v>
      </c>
      <c r="D19" t="s">
        <v>66</v>
      </c>
      <c r="E19" t="s">
        <v>64</v>
      </c>
      <c r="F19" t="s">
        <v>38</v>
      </c>
      <c r="G19" t="s">
        <v>39</v>
      </c>
      <c r="H19">
        <v>6</v>
      </c>
      <c r="I19">
        <v>2079</v>
      </c>
      <c r="J19">
        <v>0</v>
      </c>
      <c r="K19">
        <v>12474</v>
      </c>
      <c r="L19">
        <v>3817.3</v>
      </c>
    </row>
    <row r="20" spans="1:12" x14ac:dyDescent="0.3">
      <c r="A20" t="s">
        <v>67</v>
      </c>
      <c r="B20" s="1">
        <v>46056</v>
      </c>
      <c r="C20" t="s">
        <v>41</v>
      </c>
      <c r="D20" t="s">
        <v>45</v>
      </c>
      <c r="E20" t="s">
        <v>68</v>
      </c>
      <c r="F20" t="s">
        <v>38</v>
      </c>
      <c r="G20" t="s">
        <v>55</v>
      </c>
      <c r="H20">
        <v>6</v>
      </c>
      <c r="I20">
        <v>65296</v>
      </c>
      <c r="J20">
        <v>0.08</v>
      </c>
      <c r="K20">
        <v>360433.91999999998</v>
      </c>
      <c r="L20">
        <v>120636.69</v>
      </c>
    </row>
    <row r="21" spans="1:12" x14ac:dyDescent="0.3">
      <c r="A21" t="s">
        <v>69</v>
      </c>
      <c r="B21" s="1">
        <v>46127</v>
      </c>
      <c r="C21" t="s">
        <v>36</v>
      </c>
      <c r="D21" t="s">
        <v>14</v>
      </c>
      <c r="E21" t="s">
        <v>32</v>
      </c>
      <c r="F21" t="s">
        <v>38</v>
      </c>
      <c r="G21" t="s">
        <v>39</v>
      </c>
      <c r="H21">
        <v>1</v>
      </c>
      <c r="I21">
        <v>1307</v>
      </c>
      <c r="J21">
        <v>0.02</v>
      </c>
      <c r="K21">
        <v>1280.8599999999999</v>
      </c>
      <c r="L21">
        <v>418.45</v>
      </c>
    </row>
    <row r="22" spans="1:12" x14ac:dyDescent="0.3">
      <c r="A22" t="s">
        <v>70</v>
      </c>
      <c r="B22" s="1">
        <v>46160</v>
      </c>
      <c r="C22" t="s">
        <v>36</v>
      </c>
      <c r="D22" t="s">
        <v>45</v>
      </c>
      <c r="E22" t="s">
        <v>71</v>
      </c>
      <c r="F22" t="s">
        <v>16</v>
      </c>
      <c r="G22" t="s">
        <v>72</v>
      </c>
      <c r="H22">
        <v>4</v>
      </c>
      <c r="I22">
        <v>5913</v>
      </c>
      <c r="J22">
        <v>0.02</v>
      </c>
      <c r="K22">
        <v>23178.959999999999</v>
      </c>
      <c r="L22">
        <v>5316.12</v>
      </c>
    </row>
    <row r="23" spans="1:12" x14ac:dyDescent="0.3">
      <c r="A23" t="s">
        <v>73</v>
      </c>
      <c r="B23" s="1">
        <v>46111</v>
      </c>
      <c r="C23" t="s">
        <v>36</v>
      </c>
      <c r="D23" t="s">
        <v>45</v>
      </c>
      <c r="E23" t="s">
        <v>32</v>
      </c>
      <c r="F23" t="s">
        <v>21</v>
      </c>
      <c r="G23" t="s">
        <v>74</v>
      </c>
      <c r="H23">
        <v>3</v>
      </c>
      <c r="I23">
        <v>607</v>
      </c>
      <c r="J23">
        <v>0.15</v>
      </c>
      <c r="K23">
        <v>1547.85</v>
      </c>
      <c r="L23">
        <v>687.3</v>
      </c>
    </row>
    <row r="24" spans="1:12" x14ac:dyDescent="0.3">
      <c r="A24" t="s">
        <v>75</v>
      </c>
      <c r="B24" s="1">
        <v>46072</v>
      </c>
      <c r="C24" t="s">
        <v>41</v>
      </c>
      <c r="D24" t="s">
        <v>20</v>
      </c>
      <c r="E24" t="s">
        <v>59</v>
      </c>
      <c r="F24" t="s">
        <v>38</v>
      </c>
      <c r="G24" t="s">
        <v>76</v>
      </c>
      <c r="H24">
        <v>5</v>
      </c>
      <c r="I24">
        <v>19967</v>
      </c>
      <c r="J24">
        <v>0.15</v>
      </c>
      <c r="K24">
        <v>84859.75</v>
      </c>
      <c r="L24">
        <v>21196.75</v>
      </c>
    </row>
    <row r="25" spans="1:12" x14ac:dyDescent="0.3">
      <c r="A25" t="s">
        <v>77</v>
      </c>
      <c r="B25" s="1">
        <v>46140</v>
      </c>
      <c r="C25" t="s">
        <v>19</v>
      </c>
      <c r="D25" t="s">
        <v>45</v>
      </c>
      <c r="E25" t="s">
        <v>78</v>
      </c>
      <c r="F25" t="s">
        <v>21</v>
      </c>
      <c r="G25" t="s">
        <v>30</v>
      </c>
      <c r="H25">
        <v>2</v>
      </c>
      <c r="I25">
        <v>236</v>
      </c>
      <c r="J25">
        <v>0.15</v>
      </c>
      <c r="K25">
        <v>401.2</v>
      </c>
      <c r="L25">
        <v>133.16999999999999</v>
      </c>
    </row>
    <row r="26" spans="1:12" x14ac:dyDescent="0.3">
      <c r="A26" t="s">
        <v>79</v>
      </c>
      <c r="B26" s="1">
        <v>46039</v>
      </c>
      <c r="C26" t="s">
        <v>41</v>
      </c>
      <c r="D26" t="s">
        <v>80</v>
      </c>
      <c r="E26" t="s">
        <v>59</v>
      </c>
      <c r="F26" t="s">
        <v>16</v>
      </c>
      <c r="G26" t="s">
        <v>72</v>
      </c>
      <c r="H26">
        <v>2</v>
      </c>
      <c r="I26">
        <v>6483</v>
      </c>
      <c r="J26">
        <v>0.08</v>
      </c>
      <c r="K26">
        <v>11928.72</v>
      </c>
      <c r="L26">
        <v>3647.98</v>
      </c>
    </row>
    <row r="27" spans="1:12" x14ac:dyDescent="0.3">
      <c r="A27" t="s">
        <v>81</v>
      </c>
      <c r="B27" s="1">
        <v>46229</v>
      </c>
      <c r="C27" t="s">
        <v>13</v>
      </c>
      <c r="D27" t="s">
        <v>14</v>
      </c>
      <c r="E27" t="s">
        <v>37</v>
      </c>
      <c r="F27" t="s">
        <v>38</v>
      </c>
      <c r="G27" t="s">
        <v>57</v>
      </c>
      <c r="H27">
        <v>6</v>
      </c>
      <c r="I27">
        <v>1074</v>
      </c>
      <c r="J27">
        <v>0</v>
      </c>
      <c r="K27">
        <v>6444</v>
      </c>
      <c r="L27">
        <v>1745.43</v>
      </c>
    </row>
    <row r="28" spans="1:12" x14ac:dyDescent="0.3">
      <c r="A28" t="s">
        <v>82</v>
      </c>
      <c r="B28" s="1">
        <v>46214</v>
      </c>
      <c r="C28" t="s">
        <v>13</v>
      </c>
      <c r="D28" t="s">
        <v>20</v>
      </c>
      <c r="E28" t="s">
        <v>29</v>
      </c>
      <c r="F28" t="s">
        <v>21</v>
      </c>
      <c r="G28" t="s">
        <v>74</v>
      </c>
      <c r="H28">
        <v>4</v>
      </c>
      <c r="I28">
        <v>859</v>
      </c>
      <c r="J28">
        <v>0.05</v>
      </c>
      <c r="K28">
        <v>3264.2</v>
      </c>
      <c r="L28">
        <v>1237.51</v>
      </c>
    </row>
    <row r="29" spans="1:12" x14ac:dyDescent="0.3">
      <c r="A29" t="s">
        <v>83</v>
      </c>
      <c r="B29" s="1">
        <v>46051</v>
      </c>
      <c r="C29" t="s">
        <v>41</v>
      </c>
      <c r="D29" t="s">
        <v>42</v>
      </c>
      <c r="E29" t="s">
        <v>64</v>
      </c>
      <c r="F29" t="s">
        <v>38</v>
      </c>
      <c r="G29" t="s">
        <v>55</v>
      </c>
      <c r="H29">
        <v>7</v>
      </c>
      <c r="I29">
        <v>48966</v>
      </c>
      <c r="J29">
        <v>0.08</v>
      </c>
      <c r="K29">
        <v>315341.03999999998</v>
      </c>
      <c r="L29">
        <v>75140.73</v>
      </c>
    </row>
    <row r="30" spans="1:12" x14ac:dyDescent="0.3">
      <c r="A30" t="s">
        <v>84</v>
      </c>
      <c r="B30" s="1">
        <v>46098</v>
      </c>
      <c r="C30" t="s">
        <v>13</v>
      </c>
      <c r="D30" t="s">
        <v>45</v>
      </c>
      <c r="E30" t="s">
        <v>46</v>
      </c>
      <c r="F30" t="s">
        <v>16</v>
      </c>
      <c r="G30" t="s">
        <v>72</v>
      </c>
      <c r="H30">
        <v>7</v>
      </c>
      <c r="I30">
        <v>11963</v>
      </c>
      <c r="J30">
        <v>0.05</v>
      </c>
      <c r="K30">
        <v>79553.95</v>
      </c>
      <c r="L30">
        <v>25152.84</v>
      </c>
    </row>
    <row r="31" spans="1:12" x14ac:dyDescent="0.3">
      <c r="A31" t="s">
        <v>85</v>
      </c>
      <c r="B31" s="1">
        <v>46252</v>
      </c>
      <c r="C31" t="s">
        <v>36</v>
      </c>
      <c r="D31" t="s">
        <v>80</v>
      </c>
      <c r="E31" t="s">
        <v>32</v>
      </c>
      <c r="F31" t="s">
        <v>38</v>
      </c>
      <c r="G31" t="s">
        <v>57</v>
      </c>
      <c r="H31">
        <v>7</v>
      </c>
      <c r="I31">
        <v>1130</v>
      </c>
      <c r="J31">
        <v>0</v>
      </c>
      <c r="K31">
        <v>7910</v>
      </c>
      <c r="L31">
        <v>1907.13</v>
      </c>
    </row>
    <row r="32" spans="1:12" x14ac:dyDescent="0.3">
      <c r="A32" t="s">
        <v>86</v>
      </c>
      <c r="B32" s="1">
        <v>46233</v>
      </c>
      <c r="C32" t="s">
        <v>36</v>
      </c>
      <c r="D32" t="s">
        <v>20</v>
      </c>
      <c r="E32" t="s">
        <v>37</v>
      </c>
      <c r="F32" t="s">
        <v>38</v>
      </c>
      <c r="G32" t="s">
        <v>39</v>
      </c>
      <c r="H32">
        <v>5</v>
      </c>
      <c r="I32">
        <v>2797</v>
      </c>
      <c r="J32">
        <v>0.1</v>
      </c>
      <c r="K32">
        <v>12586.5</v>
      </c>
      <c r="L32">
        <v>3437.39</v>
      </c>
    </row>
    <row r="33" spans="1:12" x14ac:dyDescent="0.3">
      <c r="A33" t="s">
        <v>87</v>
      </c>
      <c r="B33" s="1">
        <v>46063</v>
      </c>
      <c r="C33" t="s">
        <v>19</v>
      </c>
      <c r="D33" t="s">
        <v>24</v>
      </c>
      <c r="E33" t="s">
        <v>88</v>
      </c>
      <c r="F33" t="s">
        <v>21</v>
      </c>
      <c r="G33" t="s">
        <v>89</v>
      </c>
      <c r="H33">
        <v>3</v>
      </c>
      <c r="I33">
        <v>502</v>
      </c>
      <c r="J33">
        <v>0.05</v>
      </c>
      <c r="K33">
        <v>1430.7</v>
      </c>
      <c r="L33">
        <v>587.37</v>
      </c>
    </row>
    <row r="34" spans="1:12" x14ac:dyDescent="0.3">
      <c r="A34" t="s">
        <v>90</v>
      </c>
      <c r="B34" s="1">
        <v>46098</v>
      </c>
      <c r="C34" t="s">
        <v>36</v>
      </c>
      <c r="D34" t="s">
        <v>14</v>
      </c>
      <c r="E34" t="s">
        <v>52</v>
      </c>
      <c r="F34" t="s">
        <v>21</v>
      </c>
      <c r="G34" t="s">
        <v>74</v>
      </c>
      <c r="H34">
        <v>7</v>
      </c>
      <c r="I34">
        <v>539</v>
      </c>
      <c r="J34">
        <v>0.1</v>
      </c>
      <c r="K34">
        <v>3395.7</v>
      </c>
      <c r="L34">
        <v>1803.34</v>
      </c>
    </row>
    <row r="35" spans="1:12" x14ac:dyDescent="0.3">
      <c r="A35" t="s">
        <v>91</v>
      </c>
      <c r="B35" s="1">
        <v>46156</v>
      </c>
      <c r="C35" t="s">
        <v>13</v>
      </c>
      <c r="D35" t="s">
        <v>14</v>
      </c>
      <c r="E35" t="s">
        <v>78</v>
      </c>
      <c r="F35" t="s">
        <v>16</v>
      </c>
      <c r="G35" t="s">
        <v>17</v>
      </c>
      <c r="H35">
        <v>2</v>
      </c>
      <c r="I35">
        <v>22350</v>
      </c>
      <c r="J35">
        <v>0.2</v>
      </c>
      <c r="K35">
        <v>35760</v>
      </c>
      <c r="L35">
        <v>6174.09</v>
      </c>
    </row>
    <row r="36" spans="1:12" x14ac:dyDescent="0.3">
      <c r="A36" t="s">
        <v>92</v>
      </c>
      <c r="B36" s="1">
        <v>46228</v>
      </c>
      <c r="C36" t="s">
        <v>19</v>
      </c>
      <c r="D36" t="s">
        <v>24</v>
      </c>
      <c r="E36" t="s">
        <v>93</v>
      </c>
      <c r="F36" t="s">
        <v>16</v>
      </c>
      <c r="G36" t="s">
        <v>72</v>
      </c>
      <c r="H36">
        <v>2</v>
      </c>
      <c r="I36">
        <v>5534</v>
      </c>
      <c r="J36">
        <v>0.05</v>
      </c>
      <c r="K36">
        <v>10514.6</v>
      </c>
      <c r="L36">
        <v>1682.82</v>
      </c>
    </row>
    <row r="37" spans="1:12" x14ac:dyDescent="0.3">
      <c r="A37" t="s">
        <v>94</v>
      </c>
      <c r="B37" s="1">
        <v>46124</v>
      </c>
      <c r="C37" t="s">
        <v>36</v>
      </c>
      <c r="D37" t="s">
        <v>42</v>
      </c>
      <c r="E37" t="s">
        <v>88</v>
      </c>
      <c r="F37" t="s">
        <v>38</v>
      </c>
      <c r="G37" t="s">
        <v>76</v>
      </c>
      <c r="H37">
        <v>8</v>
      </c>
      <c r="I37">
        <v>8232</v>
      </c>
      <c r="J37">
        <v>0.15</v>
      </c>
      <c r="K37">
        <v>55977.599999999999</v>
      </c>
      <c r="L37">
        <v>21234.69</v>
      </c>
    </row>
    <row r="38" spans="1:12" x14ac:dyDescent="0.3">
      <c r="A38" t="s">
        <v>95</v>
      </c>
      <c r="B38" s="1">
        <v>46159</v>
      </c>
      <c r="C38" t="s">
        <v>36</v>
      </c>
      <c r="D38" t="s">
        <v>66</v>
      </c>
      <c r="E38" t="s">
        <v>59</v>
      </c>
      <c r="F38" t="s">
        <v>21</v>
      </c>
      <c r="G38" t="s">
        <v>22</v>
      </c>
      <c r="H38">
        <v>7</v>
      </c>
      <c r="I38">
        <v>272</v>
      </c>
      <c r="J38">
        <v>0.1</v>
      </c>
      <c r="K38">
        <v>1713.6</v>
      </c>
      <c r="L38">
        <v>639.28</v>
      </c>
    </row>
    <row r="39" spans="1:12" x14ac:dyDescent="0.3">
      <c r="A39" t="s">
        <v>96</v>
      </c>
      <c r="B39" s="1">
        <v>46103</v>
      </c>
      <c r="C39" t="s">
        <v>41</v>
      </c>
      <c r="D39" t="s">
        <v>20</v>
      </c>
      <c r="E39" t="s">
        <v>64</v>
      </c>
      <c r="F39" t="s">
        <v>16</v>
      </c>
      <c r="G39" t="s">
        <v>17</v>
      </c>
      <c r="H39">
        <v>5</v>
      </c>
      <c r="I39">
        <v>31240</v>
      </c>
      <c r="J39">
        <v>0.05</v>
      </c>
      <c r="K39">
        <v>148390</v>
      </c>
      <c r="L39">
        <v>27383.3</v>
      </c>
    </row>
    <row r="40" spans="1:12" x14ac:dyDescent="0.3">
      <c r="A40" t="s">
        <v>97</v>
      </c>
      <c r="B40" s="1">
        <v>46160</v>
      </c>
      <c r="C40" t="s">
        <v>41</v>
      </c>
      <c r="D40" t="s">
        <v>28</v>
      </c>
      <c r="E40" t="s">
        <v>37</v>
      </c>
      <c r="F40" t="s">
        <v>38</v>
      </c>
      <c r="G40" t="s">
        <v>76</v>
      </c>
      <c r="H40">
        <v>1</v>
      </c>
      <c r="I40">
        <v>8007</v>
      </c>
      <c r="J40">
        <v>0.1</v>
      </c>
      <c r="K40">
        <v>7206.3</v>
      </c>
      <c r="L40">
        <v>2624.84</v>
      </c>
    </row>
    <row r="41" spans="1:12" x14ac:dyDescent="0.3">
      <c r="A41" t="s">
        <v>98</v>
      </c>
      <c r="B41" s="1">
        <v>46152</v>
      </c>
      <c r="C41" t="s">
        <v>13</v>
      </c>
      <c r="D41" t="s">
        <v>28</v>
      </c>
      <c r="E41" t="s">
        <v>46</v>
      </c>
      <c r="F41" t="s">
        <v>16</v>
      </c>
      <c r="G41" t="s">
        <v>17</v>
      </c>
      <c r="H41">
        <v>1</v>
      </c>
      <c r="I41">
        <v>23714</v>
      </c>
      <c r="J41">
        <v>0</v>
      </c>
      <c r="K41">
        <v>23714</v>
      </c>
      <c r="L41">
        <v>3813.92</v>
      </c>
    </row>
    <row r="42" spans="1:12" x14ac:dyDescent="0.3">
      <c r="A42" t="s">
        <v>99</v>
      </c>
      <c r="B42" s="1">
        <v>46179</v>
      </c>
      <c r="C42" t="s">
        <v>41</v>
      </c>
      <c r="D42" t="s">
        <v>45</v>
      </c>
      <c r="E42" t="s">
        <v>59</v>
      </c>
      <c r="F42" t="s">
        <v>16</v>
      </c>
      <c r="G42" t="s">
        <v>43</v>
      </c>
      <c r="H42">
        <v>7</v>
      </c>
      <c r="I42">
        <v>6963</v>
      </c>
      <c r="J42">
        <v>0.02</v>
      </c>
      <c r="K42">
        <v>47766.18</v>
      </c>
      <c r="L42">
        <v>10049.39</v>
      </c>
    </row>
    <row r="43" spans="1:12" x14ac:dyDescent="0.3">
      <c r="A43" t="s">
        <v>100</v>
      </c>
      <c r="B43" s="1">
        <v>46127</v>
      </c>
      <c r="C43" t="s">
        <v>41</v>
      </c>
      <c r="D43" t="s">
        <v>42</v>
      </c>
      <c r="E43" t="s">
        <v>34</v>
      </c>
      <c r="F43" t="s">
        <v>38</v>
      </c>
      <c r="G43" t="s">
        <v>57</v>
      </c>
      <c r="H43">
        <v>2</v>
      </c>
      <c r="I43">
        <v>2346</v>
      </c>
      <c r="J43">
        <v>0.02</v>
      </c>
      <c r="K43">
        <v>4598.16</v>
      </c>
      <c r="L43">
        <v>1726.97</v>
      </c>
    </row>
    <row r="44" spans="1:12" x14ac:dyDescent="0.3">
      <c r="A44" t="s">
        <v>101</v>
      </c>
      <c r="B44" s="1">
        <v>46189</v>
      </c>
      <c r="C44" t="s">
        <v>13</v>
      </c>
      <c r="D44" t="s">
        <v>45</v>
      </c>
      <c r="E44" t="s">
        <v>46</v>
      </c>
      <c r="F44" t="s">
        <v>21</v>
      </c>
      <c r="G44" t="s">
        <v>26</v>
      </c>
      <c r="H44">
        <v>5</v>
      </c>
      <c r="I44">
        <v>600</v>
      </c>
      <c r="J44">
        <v>0.08</v>
      </c>
      <c r="K44">
        <v>2760</v>
      </c>
      <c r="L44">
        <v>1304.1500000000001</v>
      </c>
    </row>
    <row r="45" spans="1:12" x14ac:dyDescent="0.3">
      <c r="A45" t="s">
        <v>102</v>
      </c>
      <c r="B45" s="1">
        <v>46231</v>
      </c>
      <c r="C45" t="s">
        <v>13</v>
      </c>
      <c r="D45" t="s">
        <v>28</v>
      </c>
      <c r="E45" t="s">
        <v>103</v>
      </c>
      <c r="F45" t="s">
        <v>38</v>
      </c>
      <c r="G45" t="s">
        <v>57</v>
      </c>
      <c r="H45">
        <v>1</v>
      </c>
      <c r="I45">
        <v>1000</v>
      </c>
      <c r="J45">
        <v>0.05</v>
      </c>
      <c r="K45">
        <v>950</v>
      </c>
      <c r="L45">
        <v>357.73</v>
      </c>
    </row>
    <row r="46" spans="1:12" x14ac:dyDescent="0.3">
      <c r="A46" t="s">
        <v>104</v>
      </c>
      <c r="B46" s="1">
        <v>46110</v>
      </c>
      <c r="C46" t="s">
        <v>19</v>
      </c>
      <c r="D46" t="s">
        <v>45</v>
      </c>
      <c r="E46" t="s">
        <v>29</v>
      </c>
      <c r="F46" t="s">
        <v>38</v>
      </c>
      <c r="G46" t="s">
        <v>39</v>
      </c>
      <c r="H46">
        <v>4</v>
      </c>
      <c r="I46">
        <v>3162</v>
      </c>
      <c r="J46">
        <v>0</v>
      </c>
      <c r="K46">
        <v>12648</v>
      </c>
      <c r="L46">
        <v>4456.3500000000004</v>
      </c>
    </row>
    <row r="47" spans="1:12" x14ac:dyDescent="0.3">
      <c r="A47" t="s">
        <v>105</v>
      </c>
      <c r="B47" s="1">
        <v>46184</v>
      </c>
      <c r="C47" t="s">
        <v>13</v>
      </c>
      <c r="D47" t="s">
        <v>42</v>
      </c>
      <c r="E47" t="s">
        <v>29</v>
      </c>
      <c r="F47" t="s">
        <v>16</v>
      </c>
      <c r="G47" t="s">
        <v>72</v>
      </c>
      <c r="H47">
        <v>3</v>
      </c>
      <c r="I47">
        <v>11644</v>
      </c>
      <c r="J47">
        <v>0.2</v>
      </c>
      <c r="K47">
        <v>27945.599999999999</v>
      </c>
      <c r="L47">
        <v>4738.62</v>
      </c>
    </row>
    <row r="48" spans="1:12" x14ac:dyDescent="0.3">
      <c r="A48" t="s">
        <v>106</v>
      </c>
      <c r="B48" s="1">
        <v>46231</v>
      </c>
      <c r="C48" t="s">
        <v>36</v>
      </c>
      <c r="D48" t="s">
        <v>45</v>
      </c>
      <c r="E48" t="s">
        <v>107</v>
      </c>
      <c r="F48" t="s">
        <v>21</v>
      </c>
      <c r="G48" t="s">
        <v>26</v>
      </c>
      <c r="H48">
        <v>5</v>
      </c>
      <c r="I48">
        <v>244</v>
      </c>
      <c r="J48">
        <v>0.08</v>
      </c>
      <c r="K48">
        <v>1122.4000000000001</v>
      </c>
      <c r="L48">
        <v>451.36</v>
      </c>
    </row>
    <row r="49" spans="1:12" x14ac:dyDescent="0.3">
      <c r="A49" t="s">
        <v>108</v>
      </c>
      <c r="B49" s="1">
        <v>46092</v>
      </c>
      <c r="C49" t="s">
        <v>36</v>
      </c>
      <c r="D49" t="s">
        <v>28</v>
      </c>
      <c r="E49" t="s">
        <v>103</v>
      </c>
      <c r="F49" t="s">
        <v>21</v>
      </c>
      <c r="G49" t="s">
        <v>22</v>
      </c>
      <c r="H49">
        <v>4</v>
      </c>
      <c r="I49">
        <v>103</v>
      </c>
      <c r="J49">
        <v>0.2</v>
      </c>
      <c r="K49">
        <v>329.6</v>
      </c>
      <c r="L49">
        <v>108.66</v>
      </c>
    </row>
    <row r="50" spans="1:12" x14ac:dyDescent="0.3">
      <c r="A50" t="s">
        <v>109</v>
      </c>
      <c r="B50" s="1">
        <v>46052</v>
      </c>
      <c r="C50" t="s">
        <v>19</v>
      </c>
      <c r="D50" t="s">
        <v>14</v>
      </c>
      <c r="E50" t="s">
        <v>46</v>
      </c>
      <c r="F50" t="s">
        <v>38</v>
      </c>
      <c r="G50" t="s">
        <v>47</v>
      </c>
      <c r="H50">
        <v>7</v>
      </c>
      <c r="I50">
        <v>10848</v>
      </c>
      <c r="J50">
        <v>0.05</v>
      </c>
      <c r="K50">
        <v>72139.199999999997</v>
      </c>
      <c r="L50">
        <v>27234.54</v>
      </c>
    </row>
    <row r="51" spans="1:12" x14ac:dyDescent="0.3">
      <c r="A51" t="s">
        <v>110</v>
      </c>
      <c r="B51" s="1">
        <v>46291</v>
      </c>
      <c r="C51" t="s">
        <v>19</v>
      </c>
      <c r="D51" t="s">
        <v>80</v>
      </c>
      <c r="E51" t="s">
        <v>52</v>
      </c>
      <c r="F51" t="s">
        <v>21</v>
      </c>
      <c r="G51" t="s">
        <v>26</v>
      </c>
      <c r="H51">
        <v>4</v>
      </c>
      <c r="I51">
        <v>519</v>
      </c>
      <c r="J51">
        <v>0.02</v>
      </c>
      <c r="K51">
        <v>2034.48</v>
      </c>
      <c r="L51">
        <v>1100</v>
      </c>
    </row>
    <row r="52" spans="1:12" x14ac:dyDescent="0.3">
      <c r="A52" t="s">
        <v>111</v>
      </c>
      <c r="B52" s="1">
        <v>46176</v>
      </c>
      <c r="C52" t="s">
        <v>41</v>
      </c>
      <c r="D52" t="s">
        <v>14</v>
      </c>
      <c r="E52" t="s">
        <v>49</v>
      </c>
      <c r="F52" t="s">
        <v>16</v>
      </c>
      <c r="G52" t="s">
        <v>112</v>
      </c>
      <c r="H52">
        <v>4</v>
      </c>
      <c r="I52">
        <v>3486</v>
      </c>
      <c r="J52">
        <v>0</v>
      </c>
      <c r="K52">
        <v>13944</v>
      </c>
      <c r="L52">
        <v>3212.9</v>
      </c>
    </row>
    <row r="53" spans="1:12" x14ac:dyDescent="0.3">
      <c r="A53" t="s">
        <v>113</v>
      </c>
      <c r="B53" s="1">
        <v>46201</v>
      </c>
      <c r="C53" t="s">
        <v>13</v>
      </c>
      <c r="D53" t="s">
        <v>20</v>
      </c>
      <c r="E53" t="s">
        <v>54</v>
      </c>
      <c r="F53" t="s">
        <v>21</v>
      </c>
      <c r="G53" t="s">
        <v>22</v>
      </c>
      <c r="H53">
        <v>5</v>
      </c>
      <c r="I53">
        <v>474</v>
      </c>
      <c r="J53">
        <v>0.1</v>
      </c>
      <c r="K53">
        <v>2133</v>
      </c>
      <c r="L53">
        <v>1143.8399999999999</v>
      </c>
    </row>
    <row r="54" spans="1:12" x14ac:dyDescent="0.3">
      <c r="A54" t="s">
        <v>114</v>
      </c>
      <c r="B54" s="1">
        <v>46179</v>
      </c>
      <c r="C54" t="s">
        <v>41</v>
      </c>
      <c r="D54" t="s">
        <v>28</v>
      </c>
      <c r="E54" t="s">
        <v>54</v>
      </c>
      <c r="F54" t="s">
        <v>16</v>
      </c>
      <c r="G54" t="s">
        <v>72</v>
      </c>
      <c r="H54">
        <v>6</v>
      </c>
      <c r="I54">
        <v>8767</v>
      </c>
      <c r="J54">
        <v>0.05</v>
      </c>
      <c r="K54">
        <v>49971.9</v>
      </c>
      <c r="L54">
        <v>12131.95</v>
      </c>
    </row>
    <row r="55" spans="1:12" x14ac:dyDescent="0.3">
      <c r="A55" t="s">
        <v>115</v>
      </c>
      <c r="B55" s="1">
        <v>46242</v>
      </c>
      <c r="C55" t="s">
        <v>41</v>
      </c>
      <c r="D55" t="s">
        <v>80</v>
      </c>
      <c r="E55" t="s">
        <v>54</v>
      </c>
      <c r="F55" t="s">
        <v>21</v>
      </c>
      <c r="G55" t="s">
        <v>30</v>
      </c>
      <c r="H55">
        <v>2</v>
      </c>
      <c r="I55">
        <v>215</v>
      </c>
      <c r="J55">
        <v>0.1</v>
      </c>
      <c r="K55">
        <v>387</v>
      </c>
      <c r="L55">
        <v>201.09</v>
      </c>
    </row>
    <row r="56" spans="1:12" x14ac:dyDescent="0.3">
      <c r="A56" t="s">
        <v>116</v>
      </c>
      <c r="B56" s="1">
        <v>46095</v>
      </c>
      <c r="C56" t="s">
        <v>13</v>
      </c>
      <c r="D56" t="s">
        <v>14</v>
      </c>
      <c r="E56" t="s">
        <v>117</v>
      </c>
      <c r="F56" t="s">
        <v>21</v>
      </c>
      <c r="G56" t="s">
        <v>22</v>
      </c>
      <c r="H56">
        <v>8</v>
      </c>
      <c r="I56">
        <v>211</v>
      </c>
      <c r="J56">
        <v>0.1</v>
      </c>
      <c r="K56">
        <v>1519.2</v>
      </c>
      <c r="L56">
        <v>748.81</v>
      </c>
    </row>
    <row r="57" spans="1:12" x14ac:dyDescent="0.3">
      <c r="A57" t="s">
        <v>118</v>
      </c>
      <c r="B57" s="1">
        <v>46173</v>
      </c>
      <c r="C57" t="s">
        <v>41</v>
      </c>
      <c r="D57" t="s">
        <v>20</v>
      </c>
      <c r="E57" t="s">
        <v>78</v>
      </c>
      <c r="F57" t="s">
        <v>38</v>
      </c>
      <c r="G57" t="s">
        <v>60</v>
      </c>
      <c r="H57">
        <v>6</v>
      </c>
      <c r="I57">
        <v>43702</v>
      </c>
      <c r="J57">
        <v>0.2</v>
      </c>
      <c r="K57">
        <v>209769.60000000001</v>
      </c>
      <c r="L57">
        <v>51586.6</v>
      </c>
    </row>
    <row r="58" spans="1:12" x14ac:dyDescent="0.3">
      <c r="A58" t="s">
        <v>119</v>
      </c>
      <c r="B58" s="1">
        <v>46040</v>
      </c>
      <c r="C58" t="s">
        <v>13</v>
      </c>
      <c r="D58" t="s">
        <v>42</v>
      </c>
      <c r="E58" t="s">
        <v>29</v>
      </c>
      <c r="F58" t="s">
        <v>38</v>
      </c>
      <c r="G58" t="s">
        <v>55</v>
      </c>
      <c r="H58">
        <v>2</v>
      </c>
      <c r="I58">
        <v>44838</v>
      </c>
      <c r="J58">
        <v>0.02</v>
      </c>
      <c r="K58">
        <v>87882.48</v>
      </c>
      <c r="L58">
        <v>20680.03</v>
      </c>
    </row>
    <row r="59" spans="1:12" x14ac:dyDescent="0.3">
      <c r="A59" t="s">
        <v>120</v>
      </c>
      <c r="B59" s="1">
        <v>46201</v>
      </c>
      <c r="C59" t="s">
        <v>13</v>
      </c>
      <c r="D59" t="s">
        <v>42</v>
      </c>
      <c r="E59" t="s">
        <v>64</v>
      </c>
      <c r="F59" t="s">
        <v>16</v>
      </c>
      <c r="G59" t="s">
        <v>62</v>
      </c>
      <c r="H59">
        <v>3</v>
      </c>
      <c r="I59">
        <v>14212</v>
      </c>
      <c r="J59">
        <v>0.02</v>
      </c>
      <c r="K59">
        <v>41783.279999999999</v>
      </c>
      <c r="L59">
        <v>10789.68</v>
      </c>
    </row>
    <row r="60" spans="1:12" x14ac:dyDescent="0.3">
      <c r="A60" t="s">
        <v>121</v>
      </c>
      <c r="B60" s="1">
        <v>46078</v>
      </c>
      <c r="C60" t="s">
        <v>13</v>
      </c>
      <c r="D60" t="s">
        <v>42</v>
      </c>
      <c r="E60" t="s">
        <v>71</v>
      </c>
      <c r="F60" t="s">
        <v>38</v>
      </c>
      <c r="G60" t="s">
        <v>47</v>
      </c>
      <c r="H60">
        <v>7</v>
      </c>
      <c r="I60">
        <v>11944</v>
      </c>
      <c r="J60">
        <v>0.15</v>
      </c>
      <c r="K60">
        <v>71066.8</v>
      </c>
      <c r="L60">
        <v>25261.17</v>
      </c>
    </row>
    <row r="61" spans="1:12" x14ac:dyDescent="0.3">
      <c r="A61" t="s">
        <v>122</v>
      </c>
      <c r="B61" s="1">
        <v>46246</v>
      </c>
      <c r="C61" t="s">
        <v>41</v>
      </c>
      <c r="D61" t="s">
        <v>45</v>
      </c>
      <c r="E61" t="s">
        <v>107</v>
      </c>
      <c r="F61" t="s">
        <v>16</v>
      </c>
      <c r="G61" t="s">
        <v>62</v>
      </c>
      <c r="H61">
        <v>4</v>
      </c>
      <c r="I61">
        <v>11187</v>
      </c>
      <c r="J61">
        <v>0.08</v>
      </c>
      <c r="K61">
        <v>41168.160000000003</v>
      </c>
      <c r="L61">
        <v>6313.92</v>
      </c>
    </row>
    <row r="62" spans="1:12" x14ac:dyDescent="0.3">
      <c r="A62" t="s">
        <v>123</v>
      </c>
      <c r="B62" s="1">
        <v>46147</v>
      </c>
      <c r="C62" t="s">
        <v>13</v>
      </c>
      <c r="D62" t="s">
        <v>66</v>
      </c>
      <c r="E62" t="s">
        <v>29</v>
      </c>
      <c r="F62" t="s">
        <v>21</v>
      </c>
      <c r="G62" t="s">
        <v>124</v>
      </c>
      <c r="H62">
        <v>7</v>
      </c>
      <c r="I62">
        <v>272</v>
      </c>
      <c r="J62">
        <v>0</v>
      </c>
      <c r="K62">
        <v>1904</v>
      </c>
      <c r="L62">
        <v>1042.3399999999999</v>
      </c>
    </row>
    <row r="63" spans="1:12" x14ac:dyDescent="0.3">
      <c r="A63" t="s">
        <v>125</v>
      </c>
      <c r="B63" s="1">
        <v>46212</v>
      </c>
      <c r="C63" t="s">
        <v>19</v>
      </c>
      <c r="D63" t="s">
        <v>14</v>
      </c>
      <c r="E63" t="s">
        <v>25</v>
      </c>
      <c r="F63" t="s">
        <v>16</v>
      </c>
      <c r="G63" t="s">
        <v>72</v>
      </c>
      <c r="H63">
        <v>5</v>
      </c>
      <c r="I63">
        <v>6484</v>
      </c>
      <c r="J63">
        <v>0</v>
      </c>
      <c r="K63">
        <v>32420</v>
      </c>
      <c r="L63">
        <v>9817.0400000000009</v>
      </c>
    </row>
    <row r="64" spans="1:12" x14ac:dyDescent="0.3">
      <c r="A64" t="s">
        <v>126</v>
      </c>
      <c r="B64" s="1">
        <v>46144</v>
      </c>
      <c r="C64" t="s">
        <v>19</v>
      </c>
      <c r="D64" t="s">
        <v>28</v>
      </c>
      <c r="E64" t="s">
        <v>107</v>
      </c>
      <c r="F64" t="s">
        <v>38</v>
      </c>
      <c r="G64" t="s">
        <v>60</v>
      </c>
      <c r="H64">
        <v>2</v>
      </c>
      <c r="I64">
        <v>32286</v>
      </c>
      <c r="J64">
        <v>0.05</v>
      </c>
      <c r="K64">
        <v>61343.4</v>
      </c>
      <c r="L64">
        <v>13856.18</v>
      </c>
    </row>
    <row r="65" spans="1:12" x14ac:dyDescent="0.3">
      <c r="A65" t="s">
        <v>127</v>
      </c>
      <c r="B65" s="1">
        <v>46287</v>
      </c>
      <c r="C65" t="s">
        <v>19</v>
      </c>
      <c r="D65" t="s">
        <v>24</v>
      </c>
      <c r="E65" t="s">
        <v>103</v>
      </c>
      <c r="F65" t="s">
        <v>16</v>
      </c>
      <c r="G65" t="s">
        <v>62</v>
      </c>
      <c r="H65">
        <v>6</v>
      </c>
      <c r="I65">
        <v>13349</v>
      </c>
      <c r="J65">
        <v>0.2</v>
      </c>
      <c r="K65">
        <v>64075.199999999997</v>
      </c>
      <c r="L65">
        <v>17322.66</v>
      </c>
    </row>
    <row r="66" spans="1:12" x14ac:dyDescent="0.3">
      <c r="A66" t="s">
        <v>128</v>
      </c>
      <c r="B66" s="1">
        <v>46067</v>
      </c>
      <c r="C66" t="s">
        <v>13</v>
      </c>
      <c r="D66" t="s">
        <v>14</v>
      </c>
      <c r="E66" t="s">
        <v>103</v>
      </c>
      <c r="F66" t="s">
        <v>38</v>
      </c>
      <c r="G66" t="s">
        <v>60</v>
      </c>
      <c r="H66">
        <v>6</v>
      </c>
      <c r="I66">
        <v>44069</v>
      </c>
      <c r="J66">
        <v>0.15</v>
      </c>
      <c r="K66">
        <v>224751.9</v>
      </c>
      <c r="L66">
        <v>85116.61</v>
      </c>
    </row>
    <row r="67" spans="1:12" x14ac:dyDescent="0.3">
      <c r="A67" t="s">
        <v>129</v>
      </c>
      <c r="B67" s="1">
        <v>46067</v>
      </c>
      <c r="C67" t="s">
        <v>13</v>
      </c>
      <c r="D67" t="s">
        <v>66</v>
      </c>
      <c r="E67" t="s">
        <v>25</v>
      </c>
      <c r="F67" t="s">
        <v>16</v>
      </c>
      <c r="G67" t="s">
        <v>62</v>
      </c>
      <c r="H67">
        <v>6</v>
      </c>
      <c r="I67">
        <v>15773</v>
      </c>
      <c r="J67">
        <v>0.15</v>
      </c>
      <c r="K67">
        <v>80442.3</v>
      </c>
      <c r="L67">
        <v>16811.71</v>
      </c>
    </row>
    <row r="68" spans="1:12" x14ac:dyDescent="0.3">
      <c r="A68" t="s">
        <v>130</v>
      </c>
      <c r="B68" s="1">
        <v>46228</v>
      </c>
      <c r="C68" t="s">
        <v>19</v>
      </c>
      <c r="D68" t="s">
        <v>45</v>
      </c>
      <c r="E68" t="s">
        <v>117</v>
      </c>
      <c r="F68" t="s">
        <v>16</v>
      </c>
      <c r="G68" t="s">
        <v>62</v>
      </c>
      <c r="H68">
        <v>2</v>
      </c>
      <c r="I68">
        <v>7530</v>
      </c>
      <c r="J68">
        <v>0.05</v>
      </c>
      <c r="K68">
        <v>14307</v>
      </c>
      <c r="L68">
        <v>2842.66</v>
      </c>
    </row>
    <row r="69" spans="1:12" x14ac:dyDescent="0.3">
      <c r="A69" t="s">
        <v>131</v>
      </c>
      <c r="B69" s="1">
        <v>46181</v>
      </c>
      <c r="C69" t="s">
        <v>19</v>
      </c>
      <c r="D69" t="s">
        <v>80</v>
      </c>
      <c r="E69" t="s">
        <v>107</v>
      </c>
      <c r="F69" t="s">
        <v>16</v>
      </c>
      <c r="G69" t="s">
        <v>112</v>
      </c>
      <c r="H69">
        <v>5</v>
      </c>
      <c r="I69">
        <v>7188</v>
      </c>
      <c r="J69">
        <v>0.02</v>
      </c>
      <c r="K69">
        <v>35221.199999999997</v>
      </c>
      <c r="L69">
        <v>9082.36</v>
      </c>
    </row>
    <row r="70" spans="1:12" x14ac:dyDescent="0.3">
      <c r="A70" t="s">
        <v>132</v>
      </c>
      <c r="B70" s="1">
        <v>46168</v>
      </c>
      <c r="C70" t="s">
        <v>13</v>
      </c>
      <c r="D70" t="s">
        <v>66</v>
      </c>
      <c r="E70" t="s">
        <v>71</v>
      </c>
      <c r="F70" t="s">
        <v>16</v>
      </c>
      <c r="G70" t="s">
        <v>17</v>
      </c>
      <c r="H70">
        <v>5</v>
      </c>
      <c r="I70">
        <v>12029</v>
      </c>
      <c r="J70">
        <v>0.15</v>
      </c>
      <c r="K70">
        <v>51123.25</v>
      </c>
      <c r="L70">
        <v>10894.89</v>
      </c>
    </row>
    <row r="71" spans="1:12" x14ac:dyDescent="0.3">
      <c r="A71" t="s">
        <v>133</v>
      </c>
      <c r="B71" s="1">
        <v>46050</v>
      </c>
      <c r="C71" t="s">
        <v>13</v>
      </c>
      <c r="D71" t="s">
        <v>80</v>
      </c>
      <c r="E71" t="s">
        <v>71</v>
      </c>
      <c r="F71" t="s">
        <v>16</v>
      </c>
      <c r="G71" t="s">
        <v>43</v>
      </c>
      <c r="H71">
        <v>6</v>
      </c>
      <c r="I71">
        <v>5735</v>
      </c>
      <c r="J71">
        <v>0.2</v>
      </c>
      <c r="K71">
        <v>27528</v>
      </c>
      <c r="L71">
        <v>5888.72</v>
      </c>
    </row>
    <row r="72" spans="1:12" x14ac:dyDescent="0.3">
      <c r="A72" t="s">
        <v>134</v>
      </c>
      <c r="B72" s="1">
        <v>46265</v>
      </c>
      <c r="C72" t="s">
        <v>36</v>
      </c>
      <c r="D72" t="s">
        <v>14</v>
      </c>
      <c r="E72" t="s">
        <v>117</v>
      </c>
      <c r="F72" t="s">
        <v>21</v>
      </c>
      <c r="G72" t="s">
        <v>26</v>
      </c>
      <c r="H72">
        <v>4</v>
      </c>
      <c r="I72">
        <v>333</v>
      </c>
      <c r="J72">
        <v>0</v>
      </c>
      <c r="K72">
        <v>1332</v>
      </c>
      <c r="L72">
        <v>712.7</v>
      </c>
    </row>
    <row r="73" spans="1:12" x14ac:dyDescent="0.3">
      <c r="A73" t="s">
        <v>135</v>
      </c>
      <c r="B73" s="1">
        <v>46176</v>
      </c>
      <c r="C73" t="s">
        <v>13</v>
      </c>
      <c r="D73" t="s">
        <v>66</v>
      </c>
      <c r="E73" t="s">
        <v>49</v>
      </c>
      <c r="F73" t="s">
        <v>21</v>
      </c>
      <c r="G73" t="s">
        <v>74</v>
      </c>
      <c r="H73">
        <v>6</v>
      </c>
      <c r="I73">
        <v>750</v>
      </c>
      <c r="J73">
        <v>0.08</v>
      </c>
      <c r="K73">
        <v>4140</v>
      </c>
      <c r="L73">
        <v>2044.56</v>
      </c>
    </row>
    <row r="74" spans="1:12" x14ac:dyDescent="0.3">
      <c r="A74" t="s">
        <v>136</v>
      </c>
      <c r="B74" s="1">
        <v>46201</v>
      </c>
      <c r="C74" t="s">
        <v>19</v>
      </c>
      <c r="D74" t="s">
        <v>80</v>
      </c>
      <c r="E74" t="s">
        <v>37</v>
      </c>
      <c r="F74" t="s">
        <v>16</v>
      </c>
      <c r="G74" t="s">
        <v>112</v>
      </c>
      <c r="H74">
        <v>4</v>
      </c>
      <c r="I74">
        <v>4711</v>
      </c>
      <c r="J74">
        <v>0</v>
      </c>
      <c r="K74">
        <v>18844</v>
      </c>
      <c r="L74">
        <v>2904.56</v>
      </c>
    </row>
    <row r="75" spans="1:12" x14ac:dyDescent="0.3">
      <c r="A75" t="s">
        <v>137</v>
      </c>
      <c r="B75" s="1">
        <v>46214</v>
      </c>
      <c r="C75" t="s">
        <v>19</v>
      </c>
      <c r="D75" t="s">
        <v>45</v>
      </c>
      <c r="E75" t="s">
        <v>54</v>
      </c>
      <c r="F75" t="s">
        <v>21</v>
      </c>
      <c r="G75" t="s">
        <v>124</v>
      </c>
      <c r="H75">
        <v>5</v>
      </c>
      <c r="I75">
        <v>293</v>
      </c>
      <c r="J75">
        <v>0.15</v>
      </c>
      <c r="K75">
        <v>1245.25</v>
      </c>
      <c r="L75">
        <v>467.37</v>
      </c>
    </row>
    <row r="76" spans="1:12" x14ac:dyDescent="0.3">
      <c r="A76" t="s">
        <v>138</v>
      </c>
      <c r="B76" s="1">
        <v>46273</v>
      </c>
      <c r="C76" t="s">
        <v>41</v>
      </c>
      <c r="D76" t="s">
        <v>24</v>
      </c>
      <c r="E76" t="s">
        <v>78</v>
      </c>
      <c r="F76" t="s">
        <v>16</v>
      </c>
      <c r="G76" t="s">
        <v>62</v>
      </c>
      <c r="H76">
        <v>5</v>
      </c>
      <c r="I76">
        <v>11356</v>
      </c>
      <c r="J76">
        <v>0.15</v>
      </c>
      <c r="K76">
        <v>48263</v>
      </c>
      <c r="L76">
        <v>14761.52</v>
      </c>
    </row>
    <row r="77" spans="1:12" x14ac:dyDescent="0.3">
      <c r="A77" t="s">
        <v>139</v>
      </c>
      <c r="B77" s="1">
        <v>46219</v>
      </c>
      <c r="C77" t="s">
        <v>36</v>
      </c>
      <c r="D77" t="s">
        <v>28</v>
      </c>
      <c r="E77" t="s">
        <v>103</v>
      </c>
      <c r="F77" t="s">
        <v>38</v>
      </c>
      <c r="G77" t="s">
        <v>76</v>
      </c>
      <c r="H77">
        <v>4</v>
      </c>
      <c r="I77">
        <v>18361</v>
      </c>
      <c r="J77">
        <v>0.08</v>
      </c>
      <c r="K77">
        <v>67568.479999999996</v>
      </c>
      <c r="L77">
        <v>15175.34</v>
      </c>
    </row>
    <row r="78" spans="1:12" x14ac:dyDescent="0.3">
      <c r="A78" t="s">
        <v>140</v>
      </c>
      <c r="B78" s="1">
        <v>46251</v>
      </c>
      <c r="C78" t="s">
        <v>13</v>
      </c>
      <c r="D78" t="s">
        <v>28</v>
      </c>
      <c r="E78" t="s">
        <v>25</v>
      </c>
      <c r="F78" t="s">
        <v>16</v>
      </c>
      <c r="G78" t="s">
        <v>72</v>
      </c>
      <c r="H78">
        <v>4</v>
      </c>
      <c r="I78">
        <v>6633</v>
      </c>
      <c r="J78">
        <v>0.08</v>
      </c>
      <c r="K78">
        <v>24409.439999999999</v>
      </c>
      <c r="L78">
        <v>4415.59</v>
      </c>
    </row>
    <row r="79" spans="1:12" x14ac:dyDescent="0.3">
      <c r="A79" t="s">
        <v>141</v>
      </c>
      <c r="B79" s="1">
        <v>46070</v>
      </c>
      <c r="C79" t="s">
        <v>19</v>
      </c>
      <c r="D79" t="s">
        <v>66</v>
      </c>
      <c r="E79" t="s">
        <v>52</v>
      </c>
      <c r="F79" t="s">
        <v>21</v>
      </c>
      <c r="G79" t="s">
        <v>74</v>
      </c>
      <c r="H79">
        <v>1</v>
      </c>
      <c r="I79">
        <v>377</v>
      </c>
      <c r="J79">
        <v>0.2</v>
      </c>
      <c r="K79">
        <v>301.60000000000002</v>
      </c>
      <c r="L79">
        <v>113.05</v>
      </c>
    </row>
    <row r="80" spans="1:12" x14ac:dyDescent="0.3">
      <c r="A80" t="s">
        <v>142</v>
      </c>
      <c r="B80" s="1">
        <v>46245</v>
      </c>
      <c r="C80" t="s">
        <v>41</v>
      </c>
      <c r="D80" t="s">
        <v>80</v>
      </c>
      <c r="E80" t="s">
        <v>71</v>
      </c>
      <c r="F80" t="s">
        <v>21</v>
      </c>
      <c r="G80" t="s">
        <v>124</v>
      </c>
      <c r="H80">
        <v>5</v>
      </c>
      <c r="I80">
        <v>328</v>
      </c>
      <c r="J80">
        <v>0</v>
      </c>
      <c r="K80">
        <v>1640</v>
      </c>
      <c r="L80">
        <v>572.17999999999995</v>
      </c>
    </row>
    <row r="81" spans="1:12" x14ac:dyDescent="0.3">
      <c r="A81" t="s">
        <v>143</v>
      </c>
      <c r="B81" s="1">
        <v>46074</v>
      </c>
      <c r="C81" t="s">
        <v>41</v>
      </c>
      <c r="D81" t="s">
        <v>42</v>
      </c>
      <c r="E81" t="s">
        <v>49</v>
      </c>
      <c r="F81" t="s">
        <v>38</v>
      </c>
      <c r="G81" t="s">
        <v>55</v>
      </c>
      <c r="H81">
        <v>1</v>
      </c>
      <c r="I81">
        <v>51322</v>
      </c>
      <c r="J81">
        <v>0.02</v>
      </c>
      <c r="K81">
        <v>50295.56</v>
      </c>
      <c r="L81">
        <v>19108.71</v>
      </c>
    </row>
    <row r="82" spans="1:12" x14ac:dyDescent="0.3">
      <c r="A82" t="s">
        <v>144</v>
      </c>
      <c r="B82" s="1">
        <v>46042</v>
      </c>
      <c r="C82" t="s">
        <v>36</v>
      </c>
      <c r="D82" t="s">
        <v>20</v>
      </c>
      <c r="E82" t="s">
        <v>68</v>
      </c>
      <c r="F82" t="s">
        <v>38</v>
      </c>
      <c r="G82" t="s">
        <v>76</v>
      </c>
      <c r="H82">
        <v>3</v>
      </c>
      <c r="I82">
        <v>9739</v>
      </c>
      <c r="J82">
        <v>0</v>
      </c>
      <c r="K82">
        <v>29217</v>
      </c>
      <c r="L82">
        <v>11051.28</v>
      </c>
    </row>
    <row r="83" spans="1:12" x14ac:dyDescent="0.3">
      <c r="A83" t="s">
        <v>145</v>
      </c>
      <c r="B83" s="1">
        <v>46086</v>
      </c>
      <c r="C83" t="s">
        <v>36</v>
      </c>
      <c r="D83" t="s">
        <v>45</v>
      </c>
      <c r="E83" t="s">
        <v>117</v>
      </c>
      <c r="F83" t="s">
        <v>16</v>
      </c>
      <c r="G83" t="s">
        <v>72</v>
      </c>
      <c r="H83">
        <v>6</v>
      </c>
      <c r="I83">
        <v>10746</v>
      </c>
      <c r="J83">
        <v>0</v>
      </c>
      <c r="K83">
        <v>64476</v>
      </c>
      <c r="L83">
        <v>15390.48</v>
      </c>
    </row>
    <row r="84" spans="1:12" x14ac:dyDescent="0.3">
      <c r="A84" t="s">
        <v>146</v>
      </c>
      <c r="B84" s="1">
        <v>46025</v>
      </c>
      <c r="C84" t="s">
        <v>19</v>
      </c>
      <c r="D84" t="s">
        <v>14</v>
      </c>
      <c r="E84" t="s">
        <v>34</v>
      </c>
      <c r="F84" t="s">
        <v>21</v>
      </c>
      <c r="G84" t="s">
        <v>74</v>
      </c>
      <c r="H84">
        <v>2</v>
      </c>
      <c r="I84">
        <v>526</v>
      </c>
      <c r="J84">
        <v>0.2</v>
      </c>
      <c r="K84">
        <v>841.6</v>
      </c>
      <c r="L84">
        <v>430.13</v>
      </c>
    </row>
    <row r="85" spans="1:12" x14ac:dyDescent="0.3">
      <c r="A85" t="s">
        <v>147</v>
      </c>
      <c r="B85" s="1">
        <v>46292</v>
      </c>
      <c r="C85" t="s">
        <v>36</v>
      </c>
      <c r="D85" t="s">
        <v>45</v>
      </c>
      <c r="E85" t="s">
        <v>54</v>
      </c>
      <c r="F85" t="s">
        <v>21</v>
      </c>
      <c r="G85" t="s">
        <v>26</v>
      </c>
      <c r="H85">
        <v>1</v>
      </c>
      <c r="I85">
        <v>126</v>
      </c>
      <c r="J85">
        <v>0.2</v>
      </c>
      <c r="K85">
        <v>100.8</v>
      </c>
      <c r="L85">
        <v>41.44</v>
      </c>
    </row>
    <row r="86" spans="1:12" x14ac:dyDescent="0.3">
      <c r="A86" t="s">
        <v>148</v>
      </c>
      <c r="B86" s="1">
        <v>46284</v>
      </c>
      <c r="C86" t="s">
        <v>13</v>
      </c>
      <c r="D86" t="s">
        <v>42</v>
      </c>
      <c r="E86" t="s">
        <v>93</v>
      </c>
      <c r="F86" t="s">
        <v>38</v>
      </c>
      <c r="G86" t="s">
        <v>39</v>
      </c>
      <c r="H86">
        <v>4</v>
      </c>
      <c r="I86">
        <v>5826</v>
      </c>
      <c r="J86">
        <v>0.08</v>
      </c>
      <c r="K86">
        <v>21439.68</v>
      </c>
      <c r="L86">
        <v>6569.06</v>
      </c>
    </row>
    <row r="87" spans="1:12" x14ac:dyDescent="0.3">
      <c r="A87" t="s">
        <v>149</v>
      </c>
      <c r="B87" s="1">
        <v>46186</v>
      </c>
      <c r="C87" t="s">
        <v>13</v>
      </c>
      <c r="D87" t="s">
        <v>14</v>
      </c>
      <c r="E87" t="s">
        <v>52</v>
      </c>
      <c r="F87" t="s">
        <v>16</v>
      </c>
      <c r="G87" t="s">
        <v>112</v>
      </c>
      <c r="H87">
        <v>1</v>
      </c>
      <c r="I87">
        <v>6717</v>
      </c>
      <c r="J87">
        <v>0.02</v>
      </c>
      <c r="K87">
        <v>6582.66</v>
      </c>
      <c r="L87">
        <v>1825.16</v>
      </c>
    </row>
    <row r="88" spans="1:12" x14ac:dyDescent="0.3">
      <c r="A88" t="s">
        <v>150</v>
      </c>
      <c r="B88" s="1">
        <v>46275</v>
      </c>
      <c r="C88" t="s">
        <v>13</v>
      </c>
      <c r="D88" t="s">
        <v>42</v>
      </c>
      <c r="E88" t="s">
        <v>59</v>
      </c>
      <c r="F88" t="s">
        <v>21</v>
      </c>
      <c r="G88" t="s">
        <v>89</v>
      </c>
      <c r="H88">
        <v>7</v>
      </c>
      <c r="I88">
        <v>774</v>
      </c>
      <c r="J88">
        <v>0.1</v>
      </c>
      <c r="K88">
        <v>4876.2</v>
      </c>
      <c r="L88">
        <v>2567.21</v>
      </c>
    </row>
    <row r="89" spans="1:12" x14ac:dyDescent="0.3">
      <c r="A89" t="s">
        <v>151</v>
      </c>
      <c r="B89" s="1">
        <v>46213</v>
      </c>
      <c r="C89" t="s">
        <v>41</v>
      </c>
      <c r="D89" t="s">
        <v>24</v>
      </c>
      <c r="E89" t="s">
        <v>68</v>
      </c>
      <c r="F89" t="s">
        <v>16</v>
      </c>
      <c r="G89" t="s">
        <v>43</v>
      </c>
      <c r="H89">
        <v>7</v>
      </c>
      <c r="I89">
        <v>5031</v>
      </c>
      <c r="J89">
        <v>0.02</v>
      </c>
      <c r="K89">
        <v>34512.660000000003</v>
      </c>
      <c r="L89">
        <v>10492.96</v>
      </c>
    </row>
    <row r="90" spans="1:12" x14ac:dyDescent="0.3">
      <c r="A90" t="s">
        <v>152</v>
      </c>
      <c r="B90" s="1">
        <v>46199</v>
      </c>
      <c r="C90" t="s">
        <v>13</v>
      </c>
      <c r="D90" t="s">
        <v>24</v>
      </c>
      <c r="E90" t="s">
        <v>117</v>
      </c>
      <c r="F90" t="s">
        <v>38</v>
      </c>
      <c r="G90" t="s">
        <v>76</v>
      </c>
      <c r="H90">
        <v>6</v>
      </c>
      <c r="I90">
        <v>16442</v>
      </c>
      <c r="J90">
        <v>0.1</v>
      </c>
      <c r="K90">
        <v>88786.8</v>
      </c>
      <c r="L90">
        <v>31085.5</v>
      </c>
    </row>
    <row r="91" spans="1:12" x14ac:dyDescent="0.3">
      <c r="A91" t="s">
        <v>153</v>
      </c>
      <c r="B91" s="1">
        <v>46195</v>
      </c>
      <c r="C91" t="s">
        <v>41</v>
      </c>
      <c r="D91" t="s">
        <v>24</v>
      </c>
      <c r="E91" t="s">
        <v>37</v>
      </c>
      <c r="F91" t="s">
        <v>38</v>
      </c>
      <c r="G91" t="s">
        <v>39</v>
      </c>
      <c r="H91">
        <v>5</v>
      </c>
      <c r="I91">
        <v>1218</v>
      </c>
      <c r="J91">
        <v>0.05</v>
      </c>
      <c r="K91">
        <v>5785.5</v>
      </c>
      <c r="L91">
        <v>1577.67</v>
      </c>
    </row>
    <row r="92" spans="1:12" x14ac:dyDescent="0.3">
      <c r="A92" t="s">
        <v>154</v>
      </c>
      <c r="B92" s="1">
        <v>46040</v>
      </c>
      <c r="C92" t="s">
        <v>13</v>
      </c>
      <c r="D92" t="s">
        <v>66</v>
      </c>
      <c r="E92" t="s">
        <v>88</v>
      </c>
      <c r="F92" t="s">
        <v>21</v>
      </c>
      <c r="G92" t="s">
        <v>30</v>
      </c>
      <c r="H92">
        <v>6</v>
      </c>
      <c r="I92">
        <v>237</v>
      </c>
      <c r="J92">
        <v>0.15</v>
      </c>
      <c r="K92">
        <v>1208.7</v>
      </c>
      <c r="L92">
        <v>484.97</v>
      </c>
    </row>
    <row r="93" spans="1:12" x14ac:dyDescent="0.3">
      <c r="A93" t="s">
        <v>155</v>
      </c>
      <c r="B93" s="1">
        <v>46292</v>
      </c>
      <c r="C93" t="s">
        <v>41</v>
      </c>
      <c r="D93" t="s">
        <v>20</v>
      </c>
      <c r="E93" t="s">
        <v>71</v>
      </c>
      <c r="F93" t="s">
        <v>21</v>
      </c>
      <c r="G93" t="s">
        <v>30</v>
      </c>
      <c r="H93">
        <v>4</v>
      </c>
      <c r="I93">
        <v>132</v>
      </c>
      <c r="J93">
        <v>0.2</v>
      </c>
      <c r="K93">
        <v>422.4</v>
      </c>
      <c r="L93">
        <v>157.88999999999999</v>
      </c>
    </row>
    <row r="94" spans="1:12" x14ac:dyDescent="0.3">
      <c r="A94" t="s">
        <v>156</v>
      </c>
      <c r="B94" s="1">
        <v>46057</v>
      </c>
      <c r="C94" t="s">
        <v>19</v>
      </c>
      <c r="D94" t="s">
        <v>28</v>
      </c>
      <c r="E94" t="s">
        <v>68</v>
      </c>
      <c r="F94" t="s">
        <v>16</v>
      </c>
      <c r="G94" t="s">
        <v>62</v>
      </c>
      <c r="H94">
        <v>1</v>
      </c>
      <c r="I94">
        <v>10557</v>
      </c>
      <c r="J94">
        <v>0.02</v>
      </c>
      <c r="K94">
        <v>10345.86</v>
      </c>
      <c r="L94">
        <v>1853.2</v>
      </c>
    </row>
    <row r="95" spans="1:12" x14ac:dyDescent="0.3">
      <c r="A95" t="s">
        <v>157</v>
      </c>
      <c r="B95" s="1">
        <v>46171</v>
      </c>
      <c r="C95" t="s">
        <v>41</v>
      </c>
      <c r="D95" t="s">
        <v>45</v>
      </c>
      <c r="E95" t="s">
        <v>46</v>
      </c>
      <c r="F95" t="s">
        <v>21</v>
      </c>
      <c r="G95" t="s">
        <v>26</v>
      </c>
      <c r="H95">
        <v>6</v>
      </c>
      <c r="I95">
        <v>142</v>
      </c>
      <c r="J95">
        <v>0.08</v>
      </c>
      <c r="K95">
        <v>783.84</v>
      </c>
      <c r="L95">
        <v>327.51</v>
      </c>
    </row>
    <row r="96" spans="1:12" x14ac:dyDescent="0.3">
      <c r="A96" t="s">
        <v>158</v>
      </c>
      <c r="B96" s="1">
        <v>46149</v>
      </c>
      <c r="C96" t="s">
        <v>36</v>
      </c>
      <c r="D96" t="s">
        <v>42</v>
      </c>
      <c r="E96" t="s">
        <v>52</v>
      </c>
      <c r="F96" t="s">
        <v>38</v>
      </c>
      <c r="G96" t="s">
        <v>76</v>
      </c>
      <c r="H96">
        <v>1</v>
      </c>
      <c r="I96">
        <v>11588</v>
      </c>
      <c r="J96">
        <v>0.15</v>
      </c>
      <c r="K96">
        <v>9849.7999999999993</v>
      </c>
      <c r="L96">
        <v>3368.83</v>
      </c>
    </row>
    <row r="97" spans="1:12" x14ac:dyDescent="0.3">
      <c r="A97" t="s">
        <v>159</v>
      </c>
      <c r="B97" s="1">
        <v>46193</v>
      </c>
      <c r="C97" t="s">
        <v>13</v>
      </c>
      <c r="D97" t="s">
        <v>80</v>
      </c>
      <c r="E97" t="s">
        <v>25</v>
      </c>
      <c r="F97" t="s">
        <v>21</v>
      </c>
      <c r="G97" t="s">
        <v>89</v>
      </c>
      <c r="H97">
        <v>4</v>
      </c>
      <c r="I97">
        <v>905</v>
      </c>
      <c r="J97">
        <v>0.1</v>
      </c>
      <c r="K97">
        <v>3258</v>
      </c>
      <c r="L97">
        <v>1628.99</v>
      </c>
    </row>
    <row r="98" spans="1:12" x14ac:dyDescent="0.3">
      <c r="A98" t="s">
        <v>160</v>
      </c>
      <c r="B98" s="1">
        <v>46167</v>
      </c>
      <c r="C98" t="s">
        <v>19</v>
      </c>
      <c r="D98" t="s">
        <v>80</v>
      </c>
      <c r="E98" t="s">
        <v>25</v>
      </c>
      <c r="F98" t="s">
        <v>38</v>
      </c>
      <c r="G98" t="s">
        <v>57</v>
      </c>
      <c r="H98">
        <v>3</v>
      </c>
      <c r="I98">
        <v>2977</v>
      </c>
      <c r="J98">
        <v>0.15</v>
      </c>
      <c r="K98">
        <v>7591.35</v>
      </c>
      <c r="L98">
        <v>2693.65</v>
      </c>
    </row>
    <row r="99" spans="1:12" x14ac:dyDescent="0.3">
      <c r="A99" t="s">
        <v>161</v>
      </c>
      <c r="B99" s="1">
        <v>46192</v>
      </c>
      <c r="C99" t="s">
        <v>13</v>
      </c>
      <c r="D99" t="s">
        <v>66</v>
      </c>
      <c r="E99" t="s">
        <v>64</v>
      </c>
      <c r="F99" t="s">
        <v>38</v>
      </c>
      <c r="G99" t="s">
        <v>47</v>
      </c>
      <c r="H99">
        <v>7</v>
      </c>
      <c r="I99">
        <v>9047</v>
      </c>
      <c r="J99">
        <v>0.2</v>
      </c>
      <c r="K99">
        <v>50663.199999999997</v>
      </c>
      <c r="L99">
        <v>13464.8</v>
      </c>
    </row>
    <row r="100" spans="1:12" x14ac:dyDescent="0.3">
      <c r="A100" t="s">
        <v>162</v>
      </c>
      <c r="B100" s="1">
        <v>46183</v>
      </c>
      <c r="C100" t="s">
        <v>41</v>
      </c>
      <c r="D100" t="s">
        <v>24</v>
      </c>
      <c r="E100" t="s">
        <v>34</v>
      </c>
      <c r="F100" t="s">
        <v>21</v>
      </c>
      <c r="G100" t="s">
        <v>26</v>
      </c>
      <c r="H100">
        <v>6</v>
      </c>
      <c r="I100">
        <v>328</v>
      </c>
      <c r="J100">
        <v>0.2</v>
      </c>
      <c r="K100">
        <v>1574.4</v>
      </c>
      <c r="L100">
        <v>628.9</v>
      </c>
    </row>
    <row r="101" spans="1:12" x14ac:dyDescent="0.3">
      <c r="A101" t="s">
        <v>163</v>
      </c>
      <c r="B101" s="1">
        <v>46129</v>
      </c>
      <c r="C101" t="s">
        <v>41</v>
      </c>
      <c r="D101" t="s">
        <v>28</v>
      </c>
      <c r="E101" t="s">
        <v>52</v>
      </c>
      <c r="F101" t="s">
        <v>16</v>
      </c>
      <c r="G101" t="s">
        <v>17</v>
      </c>
      <c r="H101">
        <v>2</v>
      </c>
      <c r="I101">
        <v>33545</v>
      </c>
      <c r="J101">
        <v>0.05</v>
      </c>
      <c r="K101">
        <v>63735.5</v>
      </c>
      <c r="L101">
        <v>11436.84</v>
      </c>
    </row>
    <row r="102" spans="1:12" x14ac:dyDescent="0.3">
      <c r="A102" t="s">
        <v>164</v>
      </c>
      <c r="B102" s="1">
        <v>46082</v>
      </c>
      <c r="C102" t="s">
        <v>41</v>
      </c>
      <c r="D102" t="s">
        <v>20</v>
      </c>
      <c r="E102" t="s">
        <v>93</v>
      </c>
      <c r="F102" t="s">
        <v>21</v>
      </c>
      <c r="G102" t="s">
        <v>22</v>
      </c>
      <c r="H102">
        <v>8</v>
      </c>
      <c r="I102">
        <v>133</v>
      </c>
      <c r="J102">
        <v>0.2</v>
      </c>
      <c r="K102">
        <v>851.2</v>
      </c>
      <c r="L102">
        <v>457.27</v>
      </c>
    </row>
    <row r="103" spans="1:12" x14ac:dyDescent="0.3">
      <c r="A103" t="s">
        <v>165</v>
      </c>
      <c r="B103" s="1">
        <v>46050</v>
      </c>
      <c r="C103" t="s">
        <v>36</v>
      </c>
      <c r="D103" t="s">
        <v>14</v>
      </c>
      <c r="E103" t="s">
        <v>49</v>
      </c>
      <c r="F103" t="s">
        <v>21</v>
      </c>
      <c r="G103" t="s">
        <v>74</v>
      </c>
      <c r="H103">
        <v>3</v>
      </c>
      <c r="I103">
        <v>885</v>
      </c>
      <c r="J103">
        <v>0</v>
      </c>
      <c r="K103">
        <v>2655</v>
      </c>
      <c r="L103">
        <v>1163.33</v>
      </c>
    </row>
    <row r="104" spans="1:12" x14ac:dyDescent="0.3">
      <c r="A104" t="s">
        <v>166</v>
      </c>
      <c r="B104" s="1">
        <v>46206</v>
      </c>
      <c r="C104" t="s">
        <v>41</v>
      </c>
      <c r="D104" t="s">
        <v>14</v>
      </c>
      <c r="E104" t="s">
        <v>34</v>
      </c>
      <c r="F104" t="s">
        <v>21</v>
      </c>
      <c r="G104" t="s">
        <v>74</v>
      </c>
      <c r="H104">
        <v>1</v>
      </c>
      <c r="I104">
        <v>534</v>
      </c>
      <c r="J104">
        <v>0.1</v>
      </c>
      <c r="K104">
        <v>480.6</v>
      </c>
      <c r="L104">
        <v>184.52</v>
      </c>
    </row>
    <row r="105" spans="1:12" x14ac:dyDescent="0.3">
      <c r="A105" t="s">
        <v>167</v>
      </c>
      <c r="B105" s="1">
        <v>46189</v>
      </c>
      <c r="C105" t="s">
        <v>13</v>
      </c>
      <c r="D105" t="s">
        <v>24</v>
      </c>
      <c r="E105" t="s">
        <v>49</v>
      </c>
      <c r="F105" t="s">
        <v>16</v>
      </c>
      <c r="G105" t="s">
        <v>72</v>
      </c>
      <c r="H105">
        <v>1</v>
      </c>
      <c r="I105">
        <v>10362</v>
      </c>
      <c r="J105">
        <v>0.05</v>
      </c>
      <c r="K105">
        <v>9843.9</v>
      </c>
      <c r="L105">
        <v>2874.12</v>
      </c>
    </row>
    <row r="106" spans="1:12" x14ac:dyDescent="0.3">
      <c r="A106" t="s">
        <v>168</v>
      </c>
      <c r="B106" s="1">
        <v>46114</v>
      </c>
      <c r="C106" t="s">
        <v>19</v>
      </c>
      <c r="D106" t="s">
        <v>45</v>
      </c>
      <c r="E106" t="s">
        <v>71</v>
      </c>
      <c r="F106" t="s">
        <v>16</v>
      </c>
      <c r="G106" t="s">
        <v>112</v>
      </c>
      <c r="H106">
        <v>6</v>
      </c>
      <c r="I106">
        <v>8917</v>
      </c>
      <c r="J106">
        <v>0.15</v>
      </c>
      <c r="K106">
        <v>45476.7</v>
      </c>
      <c r="L106">
        <v>11078.16</v>
      </c>
    </row>
    <row r="107" spans="1:12" x14ac:dyDescent="0.3">
      <c r="A107" t="s">
        <v>169</v>
      </c>
      <c r="B107" s="1">
        <v>46209</v>
      </c>
      <c r="C107" t="s">
        <v>19</v>
      </c>
      <c r="D107" t="s">
        <v>24</v>
      </c>
      <c r="E107" t="s">
        <v>71</v>
      </c>
      <c r="F107" t="s">
        <v>21</v>
      </c>
      <c r="G107" t="s">
        <v>22</v>
      </c>
      <c r="H107">
        <v>5</v>
      </c>
      <c r="I107">
        <v>196</v>
      </c>
      <c r="J107">
        <v>0.1</v>
      </c>
      <c r="K107">
        <v>882</v>
      </c>
      <c r="L107">
        <v>288.27</v>
      </c>
    </row>
    <row r="108" spans="1:12" x14ac:dyDescent="0.3">
      <c r="A108" t="s">
        <v>170</v>
      </c>
      <c r="B108" s="1">
        <v>46260</v>
      </c>
      <c r="C108" t="s">
        <v>36</v>
      </c>
      <c r="D108" t="s">
        <v>24</v>
      </c>
      <c r="E108" t="s">
        <v>52</v>
      </c>
      <c r="F108" t="s">
        <v>21</v>
      </c>
      <c r="G108" t="s">
        <v>124</v>
      </c>
      <c r="H108">
        <v>4</v>
      </c>
      <c r="I108">
        <v>277</v>
      </c>
      <c r="J108">
        <v>0.05</v>
      </c>
      <c r="K108">
        <v>1052.5999999999999</v>
      </c>
      <c r="L108">
        <v>506.2</v>
      </c>
    </row>
    <row r="109" spans="1:12" x14ac:dyDescent="0.3">
      <c r="A109" t="s">
        <v>171</v>
      </c>
      <c r="B109" s="1">
        <v>46237</v>
      </c>
      <c r="C109" t="s">
        <v>36</v>
      </c>
      <c r="D109" t="s">
        <v>80</v>
      </c>
      <c r="E109" t="s">
        <v>64</v>
      </c>
      <c r="F109" t="s">
        <v>16</v>
      </c>
      <c r="G109" t="s">
        <v>17</v>
      </c>
      <c r="H109">
        <v>5</v>
      </c>
      <c r="I109">
        <v>13804</v>
      </c>
      <c r="J109">
        <v>0.2</v>
      </c>
      <c r="K109">
        <v>55216</v>
      </c>
      <c r="L109">
        <v>13125.32</v>
      </c>
    </row>
    <row r="110" spans="1:12" x14ac:dyDescent="0.3">
      <c r="A110" t="s">
        <v>172</v>
      </c>
      <c r="B110" s="1">
        <v>46254</v>
      </c>
      <c r="C110" t="s">
        <v>41</v>
      </c>
      <c r="D110" t="s">
        <v>28</v>
      </c>
      <c r="E110" t="s">
        <v>103</v>
      </c>
      <c r="F110" t="s">
        <v>16</v>
      </c>
      <c r="G110" t="s">
        <v>72</v>
      </c>
      <c r="H110">
        <v>6</v>
      </c>
      <c r="I110">
        <v>4391</v>
      </c>
      <c r="J110">
        <v>0.02</v>
      </c>
      <c r="K110">
        <v>25819.08</v>
      </c>
      <c r="L110">
        <v>4179.49</v>
      </c>
    </row>
    <row r="111" spans="1:12" x14ac:dyDescent="0.3">
      <c r="A111" t="s">
        <v>173</v>
      </c>
      <c r="B111" s="1">
        <v>46240</v>
      </c>
      <c r="C111" t="s">
        <v>19</v>
      </c>
      <c r="D111" t="s">
        <v>14</v>
      </c>
      <c r="E111" t="s">
        <v>32</v>
      </c>
      <c r="F111" t="s">
        <v>38</v>
      </c>
      <c r="G111" t="s">
        <v>60</v>
      </c>
      <c r="H111">
        <v>3</v>
      </c>
      <c r="I111">
        <v>39820</v>
      </c>
      <c r="J111">
        <v>0.02</v>
      </c>
      <c r="K111">
        <v>117070.8</v>
      </c>
      <c r="L111">
        <v>35126.6</v>
      </c>
    </row>
    <row r="112" spans="1:12" x14ac:dyDescent="0.3">
      <c r="A112" t="s">
        <v>174</v>
      </c>
      <c r="B112" s="1">
        <v>46104</v>
      </c>
      <c r="C112" t="s">
        <v>36</v>
      </c>
      <c r="D112" t="s">
        <v>24</v>
      </c>
      <c r="E112" t="s">
        <v>88</v>
      </c>
      <c r="F112" t="s">
        <v>38</v>
      </c>
      <c r="G112" t="s">
        <v>55</v>
      </c>
      <c r="H112">
        <v>2</v>
      </c>
      <c r="I112">
        <v>43119</v>
      </c>
      <c r="J112">
        <v>0</v>
      </c>
      <c r="K112">
        <v>86238</v>
      </c>
      <c r="L112">
        <v>20450.759999999998</v>
      </c>
    </row>
    <row r="113" spans="1:12" x14ac:dyDescent="0.3">
      <c r="A113" t="s">
        <v>175</v>
      </c>
      <c r="B113" s="1">
        <v>46217</v>
      </c>
      <c r="C113" t="s">
        <v>19</v>
      </c>
      <c r="D113" t="s">
        <v>14</v>
      </c>
      <c r="E113" t="s">
        <v>93</v>
      </c>
      <c r="F113" t="s">
        <v>21</v>
      </c>
      <c r="G113" t="s">
        <v>74</v>
      </c>
      <c r="H113">
        <v>5</v>
      </c>
      <c r="I113">
        <v>403</v>
      </c>
      <c r="J113">
        <v>0</v>
      </c>
      <c r="K113">
        <v>2015</v>
      </c>
      <c r="L113">
        <v>1094.02</v>
      </c>
    </row>
    <row r="114" spans="1:12" x14ac:dyDescent="0.3">
      <c r="A114" t="s">
        <v>176</v>
      </c>
      <c r="B114" s="1">
        <v>46230</v>
      </c>
      <c r="C114" t="s">
        <v>41</v>
      </c>
      <c r="D114" t="s">
        <v>24</v>
      </c>
      <c r="E114" t="s">
        <v>71</v>
      </c>
      <c r="F114" t="s">
        <v>16</v>
      </c>
      <c r="G114" t="s">
        <v>17</v>
      </c>
      <c r="H114">
        <v>8</v>
      </c>
      <c r="I114">
        <v>25365</v>
      </c>
      <c r="J114">
        <v>0</v>
      </c>
      <c r="K114">
        <v>202920</v>
      </c>
      <c r="L114">
        <v>53755.17</v>
      </c>
    </row>
    <row r="115" spans="1:12" x14ac:dyDescent="0.3">
      <c r="A115" t="s">
        <v>177</v>
      </c>
      <c r="B115" s="1">
        <v>46106</v>
      </c>
      <c r="C115" t="s">
        <v>36</v>
      </c>
      <c r="D115" t="s">
        <v>42</v>
      </c>
      <c r="E115" t="s">
        <v>103</v>
      </c>
      <c r="F115" t="s">
        <v>38</v>
      </c>
      <c r="G115" t="s">
        <v>57</v>
      </c>
      <c r="H115">
        <v>2</v>
      </c>
      <c r="I115">
        <v>2788</v>
      </c>
      <c r="J115">
        <v>0</v>
      </c>
      <c r="K115">
        <v>5576</v>
      </c>
      <c r="L115">
        <v>1420.51</v>
      </c>
    </row>
    <row r="116" spans="1:12" x14ac:dyDescent="0.3">
      <c r="A116" t="s">
        <v>178</v>
      </c>
      <c r="B116" s="1">
        <v>46139</v>
      </c>
      <c r="C116" t="s">
        <v>36</v>
      </c>
      <c r="D116" t="s">
        <v>24</v>
      </c>
      <c r="E116" t="s">
        <v>107</v>
      </c>
      <c r="F116" t="s">
        <v>38</v>
      </c>
      <c r="G116" t="s">
        <v>60</v>
      </c>
      <c r="H116">
        <v>8</v>
      </c>
      <c r="I116">
        <v>20478</v>
      </c>
      <c r="J116">
        <v>0</v>
      </c>
      <c r="K116">
        <v>163824</v>
      </c>
      <c r="L116">
        <v>52818.31</v>
      </c>
    </row>
    <row r="117" spans="1:12" x14ac:dyDescent="0.3">
      <c r="A117" t="s">
        <v>179</v>
      </c>
      <c r="B117" s="1">
        <v>46272</v>
      </c>
      <c r="C117" t="s">
        <v>13</v>
      </c>
      <c r="D117" t="s">
        <v>24</v>
      </c>
      <c r="E117" t="s">
        <v>29</v>
      </c>
      <c r="F117" t="s">
        <v>21</v>
      </c>
      <c r="G117" t="s">
        <v>22</v>
      </c>
      <c r="H117">
        <v>3</v>
      </c>
      <c r="I117">
        <v>396</v>
      </c>
      <c r="J117">
        <v>0</v>
      </c>
      <c r="K117">
        <v>1188</v>
      </c>
      <c r="L117">
        <v>384.2</v>
      </c>
    </row>
    <row r="118" spans="1:12" x14ac:dyDescent="0.3">
      <c r="A118" t="s">
        <v>180</v>
      </c>
      <c r="B118" s="1">
        <v>46163</v>
      </c>
      <c r="C118" t="s">
        <v>36</v>
      </c>
      <c r="D118" t="s">
        <v>66</v>
      </c>
      <c r="E118" t="s">
        <v>15</v>
      </c>
      <c r="F118" t="s">
        <v>38</v>
      </c>
      <c r="G118" t="s">
        <v>39</v>
      </c>
      <c r="H118">
        <v>2</v>
      </c>
      <c r="I118">
        <v>1466</v>
      </c>
      <c r="J118">
        <v>0.08</v>
      </c>
      <c r="K118">
        <v>2697.44</v>
      </c>
      <c r="L118">
        <v>749.26</v>
      </c>
    </row>
    <row r="119" spans="1:12" x14ac:dyDescent="0.3">
      <c r="A119" t="s">
        <v>181</v>
      </c>
      <c r="B119" s="1">
        <v>46204</v>
      </c>
      <c r="C119" t="s">
        <v>19</v>
      </c>
      <c r="D119" t="s">
        <v>66</v>
      </c>
      <c r="E119" t="s">
        <v>15</v>
      </c>
      <c r="F119" t="s">
        <v>21</v>
      </c>
      <c r="G119" t="s">
        <v>124</v>
      </c>
      <c r="H119">
        <v>7</v>
      </c>
      <c r="I119">
        <v>112</v>
      </c>
      <c r="J119">
        <v>0.02</v>
      </c>
      <c r="K119">
        <v>768.32</v>
      </c>
      <c r="L119">
        <v>387.29</v>
      </c>
    </row>
    <row r="120" spans="1:12" x14ac:dyDescent="0.3">
      <c r="A120" t="s">
        <v>182</v>
      </c>
      <c r="B120" s="1">
        <v>46262</v>
      </c>
      <c r="C120" t="s">
        <v>36</v>
      </c>
      <c r="D120" t="s">
        <v>28</v>
      </c>
      <c r="E120" t="s">
        <v>49</v>
      </c>
      <c r="F120" t="s">
        <v>16</v>
      </c>
      <c r="G120" t="s">
        <v>43</v>
      </c>
      <c r="H120">
        <v>7</v>
      </c>
      <c r="I120">
        <v>8777</v>
      </c>
      <c r="J120">
        <v>0.1</v>
      </c>
      <c r="K120">
        <v>55295.1</v>
      </c>
      <c r="L120">
        <v>12897.92</v>
      </c>
    </row>
    <row r="121" spans="1:12" x14ac:dyDescent="0.3">
      <c r="A121" t="s">
        <v>183</v>
      </c>
      <c r="B121" s="1">
        <v>46090</v>
      </c>
      <c r="C121" t="s">
        <v>36</v>
      </c>
      <c r="D121" t="s">
        <v>28</v>
      </c>
      <c r="E121" t="s">
        <v>107</v>
      </c>
      <c r="F121" t="s">
        <v>21</v>
      </c>
      <c r="G121" t="s">
        <v>26</v>
      </c>
      <c r="H121">
        <v>5</v>
      </c>
      <c r="I121">
        <v>335</v>
      </c>
      <c r="J121">
        <v>0</v>
      </c>
      <c r="K121">
        <v>1675</v>
      </c>
      <c r="L121">
        <v>835.12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1D57-6436-45BA-A13F-13D16A878CAC}">
  <dimension ref="A1:J52"/>
  <sheetViews>
    <sheetView workbookViewId="0">
      <selection activeCell="C20" sqref="C20"/>
    </sheetView>
  </sheetViews>
  <sheetFormatPr defaultRowHeight="14.4" x14ac:dyDescent="0.3"/>
  <cols>
    <col min="1" max="2" width="13.109375" bestFit="1" customWidth="1"/>
    <col min="3" max="3" width="13.88671875" bestFit="1" customWidth="1"/>
    <col min="4" max="4" width="14.44140625" bestFit="1" customWidth="1"/>
    <col min="5" max="5" width="13.5546875" bestFit="1" customWidth="1"/>
  </cols>
  <sheetData>
    <row r="1" spans="1:4" ht="25.8" x14ac:dyDescent="0.5">
      <c r="A1" s="6" t="s">
        <v>185</v>
      </c>
    </row>
    <row r="3" spans="1:4" x14ac:dyDescent="0.3">
      <c r="B3" s="9" t="s">
        <v>5</v>
      </c>
      <c r="C3" s="10" t="s">
        <v>188</v>
      </c>
    </row>
    <row r="4" spans="1:4" x14ac:dyDescent="0.3">
      <c r="B4" s="5" t="s">
        <v>38</v>
      </c>
      <c r="C4" s="7">
        <v>2747859.52</v>
      </c>
    </row>
    <row r="5" spans="1:4" x14ac:dyDescent="0.3">
      <c r="B5" s="5" t="s">
        <v>16</v>
      </c>
      <c r="C5" s="7">
        <v>2001490.9999999998</v>
      </c>
    </row>
    <row r="6" spans="1:4" x14ac:dyDescent="0.3">
      <c r="B6" s="5" t="s">
        <v>21</v>
      </c>
      <c r="C6" s="7">
        <v>61886.069999999985</v>
      </c>
    </row>
    <row r="7" spans="1:4" x14ac:dyDescent="0.3">
      <c r="B7" s="5" t="s">
        <v>184</v>
      </c>
      <c r="C7" s="7">
        <v>4811236.59</v>
      </c>
    </row>
    <row r="10" spans="1:4" ht="25.8" x14ac:dyDescent="0.5">
      <c r="A10" s="6" t="s">
        <v>186</v>
      </c>
    </row>
    <row r="12" spans="1:4" x14ac:dyDescent="0.3">
      <c r="B12" s="9" t="s">
        <v>5</v>
      </c>
      <c r="C12" s="10" t="s">
        <v>189</v>
      </c>
      <c r="D12" t="s">
        <v>187</v>
      </c>
    </row>
    <row r="13" spans="1:4" x14ac:dyDescent="0.3">
      <c r="B13" s="5" t="s">
        <v>38</v>
      </c>
      <c r="C13" s="7">
        <v>832684.83999999985</v>
      </c>
      <c r="D13" s="7">
        <v>20817.120999999996</v>
      </c>
    </row>
    <row r="14" spans="1:4" x14ac:dyDescent="0.3">
      <c r="B14" s="5" t="s">
        <v>16</v>
      </c>
      <c r="C14" s="7">
        <v>479718.57999999996</v>
      </c>
      <c r="D14" s="7">
        <v>12300.47641025641</v>
      </c>
    </row>
    <row r="15" spans="1:4" x14ac:dyDescent="0.3">
      <c r="B15" s="5" t="s">
        <v>21</v>
      </c>
      <c r="C15" s="7">
        <v>28908.22</v>
      </c>
      <c r="D15" s="7">
        <v>705.0785365853659</v>
      </c>
    </row>
    <row r="16" spans="1:4" x14ac:dyDescent="0.3">
      <c r="B16" s="5" t="s">
        <v>184</v>
      </c>
      <c r="C16" s="7">
        <v>1341311.6400000006</v>
      </c>
      <c r="D16" s="7">
        <v>11177.597000000005</v>
      </c>
    </row>
    <row r="18" spans="2:5" ht="18" x14ac:dyDescent="0.35">
      <c r="B18" s="8" t="s">
        <v>190</v>
      </c>
    </row>
    <row r="19" spans="2:5" ht="18" x14ac:dyDescent="0.35">
      <c r="B19" s="8"/>
    </row>
    <row r="24" spans="2:5" ht="18" x14ac:dyDescent="0.35">
      <c r="E24" s="11" t="s">
        <v>191</v>
      </c>
    </row>
    <row r="28" spans="2:5" ht="25.8" x14ac:dyDescent="0.5">
      <c r="B28" s="6"/>
    </row>
    <row r="49" spans="7:10" ht="18" x14ac:dyDescent="0.35">
      <c r="G49" s="13"/>
      <c r="H49" s="13"/>
      <c r="I49" s="13"/>
      <c r="J49" s="13"/>
    </row>
    <row r="50" spans="7:10" ht="18" x14ac:dyDescent="0.35">
      <c r="G50" s="14"/>
      <c r="H50" s="13"/>
      <c r="I50" s="13"/>
      <c r="J50" s="13"/>
    </row>
    <row r="51" spans="7:10" x14ac:dyDescent="0.3">
      <c r="G51" s="12"/>
    </row>
    <row r="52" spans="7:10" x14ac:dyDescent="0.3">
      <c r="G52" s="12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609E-326A-4D28-B16E-40B1FF11760D}">
  <dimension ref="B2:J26"/>
  <sheetViews>
    <sheetView workbookViewId="0">
      <selection activeCell="D23" sqref="D23"/>
    </sheetView>
  </sheetViews>
  <sheetFormatPr defaultRowHeight="14.4" x14ac:dyDescent="0.3"/>
  <cols>
    <col min="2" max="2" width="13.109375" bestFit="1" customWidth="1"/>
    <col min="3" max="4" width="13.77734375" bestFit="1" customWidth="1"/>
  </cols>
  <sheetData>
    <row r="2" spans="2:4" ht="25.8" x14ac:dyDescent="0.5">
      <c r="B2" s="6" t="s">
        <v>192</v>
      </c>
    </row>
    <row r="5" spans="2:4" x14ac:dyDescent="0.3">
      <c r="B5" s="4" t="s">
        <v>5</v>
      </c>
      <c r="C5" s="4" t="s">
        <v>188</v>
      </c>
      <c r="D5" t="s">
        <v>189</v>
      </c>
    </row>
    <row r="6" spans="2:4" x14ac:dyDescent="0.3">
      <c r="B6" s="5" t="s">
        <v>38</v>
      </c>
      <c r="C6" s="7">
        <v>2747859.52</v>
      </c>
      <c r="D6" s="7">
        <v>832684.83999999985</v>
      </c>
    </row>
    <row r="7" spans="2:4" x14ac:dyDescent="0.3">
      <c r="B7" s="5" t="s">
        <v>16</v>
      </c>
      <c r="C7" s="7">
        <v>2001490.9999999998</v>
      </c>
      <c r="D7" s="7">
        <v>479718.57999999996</v>
      </c>
    </row>
    <row r="8" spans="2:4" x14ac:dyDescent="0.3">
      <c r="B8" s="5" t="s">
        <v>21</v>
      </c>
      <c r="C8" s="7">
        <v>61886.069999999985</v>
      </c>
      <c r="D8" s="7">
        <v>28908.22</v>
      </c>
    </row>
    <row r="9" spans="2:4" x14ac:dyDescent="0.3">
      <c r="B9" s="5" t="s">
        <v>184</v>
      </c>
      <c r="C9" s="7">
        <v>4811236.59</v>
      </c>
      <c r="D9" s="7">
        <v>1341311.6399999997</v>
      </c>
    </row>
    <row r="23" spans="7:10" ht="18" x14ac:dyDescent="0.35">
      <c r="G23" s="13" t="s">
        <v>193</v>
      </c>
      <c r="H23" s="13"/>
      <c r="I23" s="13"/>
      <c r="J23" s="13"/>
    </row>
    <row r="24" spans="7:10" ht="18" x14ac:dyDescent="0.35">
      <c r="G24" s="14"/>
      <c r="H24" s="13" t="s">
        <v>194</v>
      </c>
      <c r="I24" s="13"/>
      <c r="J24" s="13"/>
    </row>
    <row r="25" spans="7:10" x14ac:dyDescent="0.3">
      <c r="G25" s="12"/>
    </row>
    <row r="26" spans="7:10" x14ac:dyDescent="0.3">
      <c r="G26" s="12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0299-0572-4AB2-ABF8-B82A2C643C2B}">
  <dimension ref="A1:I21"/>
  <sheetViews>
    <sheetView tabSelected="1" topLeftCell="A2" workbookViewId="0">
      <selection activeCell="G25" sqref="G25"/>
    </sheetView>
  </sheetViews>
  <sheetFormatPr defaultRowHeight="14.4" x14ac:dyDescent="0.3"/>
  <cols>
    <col min="2" max="2" width="13.109375" bestFit="1" customWidth="1"/>
    <col min="3" max="4" width="11" bestFit="1" customWidth="1"/>
  </cols>
  <sheetData>
    <row r="1" spans="1:2" ht="21" x14ac:dyDescent="0.4">
      <c r="A1" s="17" t="s">
        <v>195</v>
      </c>
      <c r="B1" s="15"/>
    </row>
    <row r="3" spans="1:2" ht="18" x14ac:dyDescent="0.3">
      <c r="B3" s="16" t="s">
        <v>196</v>
      </c>
    </row>
    <row r="4" spans="1:2" x14ac:dyDescent="0.3">
      <c r="B4" s="12" t="s">
        <v>204</v>
      </c>
    </row>
    <row r="6" spans="1:2" ht="18" x14ac:dyDescent="0.3">
      <c r="B6" s="16" t="s">
        <v>197</v>
      </c>
    </row>
    <row r="7" spans="1:2" x14ac:dyDescent="0.3">
      <c r="B7" s="12" t="s">
        <v>205</v>
      </c>
    </row>
    <row r="9" spans="1:2" ht="18" x14ac:dyDescent="0.3">
      <c r="B9" s="16" t="s">
        <v>198</v>
      </c>
    </row>
    <row r="10" spans="1:2" x14ac:dyDescent="0.3">
      <c r="B10" s="12" t="s">
        <v>199</v>
      </c>
    </row>
    <row r="12" spans="1:2" ht="18" x14ac:dyDescent="0.3">
      <c r="B12" s="16" t="s">
        <v>200</v>
      </c>
    </row>
    <row r="13" spans="1:2" x14ac:dyDescent="0.3">
      <c r="B13" s="12" t="s">
        <v>201</v>
      </c>
    </row>
    <row r="15" spans="1:2" ht="18" x14ac:dyDescent="0.3">
      <c r="B15" s="16" t="s">
        <v>202</v>
      </c>
    </row>
    <row r="16" spans="1:2" x14ac:dyDescent="0.3">
      <c r="B16" s="12" t="s">
        <v>203</v>
      </c>
    </row>
    <row r="19" spans="1:9" ht="23.4" x14ac:dyDescent="0.45">
      <c r="A19" s="18" t="s">
        <v>206</v>
      </c>
    </row>
    <row r="20" spans="1:9" x14ac:dyDescent="0.3">
      <c r="B20" s="20" t="s">
        <v>207</v>
      </c>
      <c r="C20" s="20"/>
      <c r="D20" s="20"/>
      <c r="E20" s="20"/>
      <c r="F20" s="20"/>
      <c r="G20" s="20"/>
      <c r="H20" s="20"/>
      <c r="I20" s="19"/>
    </row>
    <row r="21" spans="1:9" x14ac:dyDescent="0.3">
      <c r="B21" s="20" t="s">
        <v>208</v>
      </c>
      <c r="C21" s="20"/>
      <c r="D21" s="20"/>
      <c r="E21" s="20"/>
      <c r="F21" s="20"/>
      <c r="G21" s="20"/>
      <c r="H21" s="20"/>
      <c r="I2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Profit_Analysis</vt:lpstr>
      <vt:lpstr>Revenue vs Profit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2026-10-05T07:53:50Z</dcterms:created>
  <dcterms:modified xsi:type="dcterms:W3CDTF">2026-10-05T09:01:21Z</dcterms:modified>
</cp:coreProperties>
</file>