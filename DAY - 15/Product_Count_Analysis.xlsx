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122" documentId="8_{85BCAC6F-9B0F-4267-999E-5701043FFF9E}" xr6:coauthVersionLast="47" xr6:coauthVersionMax="47" xr10:uidLastSave="{112C74C1-F31E-4872-8946-005F066EFAF5}"/>
  <bookViews>
    <workbookView xWindow="-108" yWindow="-108" windowWidth="23256" windowHeight="12456" xr2:uid="{D8130B2C-09BE-4648-9F4A-EDC5C795BF2D}"/>
  </bookViews>
  <sheets>
    <sheet name="Raw_Data" sheetId="1" r:id="rId1"/>
    <sheet name="Count_Analysis" sheetId="3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  <c r="C8" i="3" l="1"/>
  <c r="C9" i="3"/>
</calcChain>
</file>

<file path=xl/sharedStrings.xml><?xml version="1.0" encoding="utf-8"?>
<sst xmlns="http://schemas.openxmlformats.org/spreadsheetml/2006/main" count="3026" uniqueCount="547">
  <si>
    <t>Order_ID</t>
  </si>
  <si>
    <t>Order_Date</t>
  </si>
  <si>
    <t>Category</t>
  </si>
  <si>
    <t>Sub_Category</t>
  </si>
  <si>
    <t>Region</t>
  </si>
  <si>
    <t>Segment</t>
  </si>
  <si>
    <t>City</t>
  </si>
  <si>
    <t>Quantity</t>
  </si>
  <si>
    <t>Discount</t>
  </si>
  <si>
    <t>Sales</t>
  </si>
  <si>
    <t>Profit</t>
  </si>
  <si>
    <t>ORD-10034</t>
  </si>
  <si>
    <t>Office Supplies</t>
  </si>
  <si>
    <t>Binders</t>
  </si>
  <si>
    <t>West</t>
  </si>
  <si>
    <t>Consumer</t>
  </si>
  <si>
    <t>Boston</t>
  </si>
  <si>
    <t>ORD-10447</t>
  </si>
  <si>
    <t>Central</t>
  </si>
  <si>
    <t>Houston</t>
  </si>
  <si>
    <t>ORD-10389</t>
  </si>
  <si>
    <t>Art</t>
  </si>
  <si>
    <t>ORD-10197</t>
  </si>
  <si>
    <t>South</t>
  </si>
  <si>
    <t>Los Angeles</t>
  </si>
  <si>
    <t>ORD-10148</t>
  </si>
  <si>
    <t>Furniture</t>
  </si>
  <si>
    <t>Chairs</t>
  </si>
  <si>
    <t>Corporate</t>
  </si>
  <si>
    <t>ORD-10124</t>
  </si>
  <si>
    <t>Technology</t>
  </si>
  <si>
    <t>Accessories</t>
  </si>
  <si>
    <t>Atlanta</t>
  </si>
  <si>
    <t>ORD-10243</t>
  </si>
  <si>
    <t>Storage</t>
  </si>
  <si>
    <t>Home Office</t>
  </si>
  <si>
    <t>ORD-10412</t>
  </si>
  <si>
    <t>ORD-10297</t>
  </si>
  <si>
    <t>Chicago</t>
  </si>
  <si>
    <t>ORD-10319</t>
  </si>
  <si>
    <t>Computers</t>
  </si>
  <si>
    <t>ORD-10359</t>
  </si>
  <si>
    <t>ORD-10211</t>
  </si>
  <si>
    <t>Bookcases</t>
  </si>
  <si>
    <t>East</t>
  </si>
  <si>
    <t>ORD-10293</t>
  </si>
  <si>
    <t>Paper</t>
  </si>
  <si>
    <t>Seattle</t>
  </si>
  <si>
    <t>ORD-10273</t>
  </si>
  <si>
    <t>ORD-10101</t>
  </si>
  <si>
    <t>Phones</t>
  </si>
  <si>
    <t>ORD-10100</t>
  </si>
  <si>
    <t>ORD-10439</t>
  </si>
  <si>
    <t>New York</t>
  </si>
  <si>
    <t>ORD-10001</t>
  </si>
  <si>
    <t>Tables</t>
  </si>
  <si>
    <t>ORD-10061</t>
  </si>
  <si>
    <t>ORD-10279</t>
  </si>
  <si>
    <t>ORD-10219</t>
  </si>
  <si>
    <t>ORD-10240</t>
  </si>
  <si>
    <t>ORD-10022</t>
  </si>
  <si>
    <t>ORD-10374</t>
  </si>
  <si>
    <t>ORD-10200</t>
  </si>
  <si>
    <t>ORD-10091</t>
  </si>
  <si>
    <t>ORD-10210</t>
  </si>
  <si>
    <t>ORD-10478</t>
  </si>
  <si>
    <t>ORD-10472</t>
  </si>
  <si>
    <t>ORD-10280</t>
  </si>
  <si>
    <t>Dallas</t>
  </si>
  <si>
    <t>ORD-10351</t>
  </si>
  <si>
    <t>ORD-10373</t>
  </si>
  <si>
    <t>ORD-10466</t>
  </si>
  <si>
    <t>ORD-10483</t>
  </si>
  <si>
    <t>ORD-10492</t>
  </si>
  <si>
    <t>ORD-10493</t>
  </si>
  <si>
    <t>ORD-10209</t>
  </si>
  <si>
    <t>ORD-10278</t>
  </si>
  <si>
    <t>ORD-10207</t>
  </si>
  <si>
    <t>ORD-10292</t>
  </si>
  <si>
    <t>ORD-10317</t>
  </si>
  <si>
    <t>ORD-10434</t>
  </si>
  <si>
    <t>ORD-10073</t>
  </si>
  <si>
    <t>ORD-10021</t>
  </si>
  <si>
    <t>ORD-10132</t>
  </si>
  <si>
    <t>ORD-10172</t>
  </si>
  <si>
    <t>ORD-10433</t>
  </si>
  <si>
    <t>ORD-10128</t>
  </si>
  <si>
    <t>ORD-10113</t>
  </si>
  <si>
    <t>ORD-10119</t>
  </si>
  <si>
    <t>ORD-10251</t>
  </si>
  <si>
    <t>ORD-10181</t>
  </si>
  <si>
    <t>ORD-10276</t>
  </si>
  <si>
    <t>ORD-10405</t>
  </si>
  <si>
    <t>ORD-10444</t>
  </si>
  <si>
    <t>ORD-10413</t>
  </si>
  <si>
    <t>ORD-10081</t>
  </si>
  <si>
    <t>ORD-10068</t>
  </si>
  <si>
    <t>ORD-10255</t>
  </si>
  <si>
    <t>ORD-10270</t>
  </si>
  <si>
    <t>ORD-10050</t>
  </si>
  <si>
    <t>ORD-10204</t>
  </si>
  <si>
    <t>ORD-10139</t>
  </si>
  <si>
    <t>ORD-10303</t>
  </si>
  <si>
    <t>ORD-10159</t>
  </si>
  <si>
    <t>ORD-10074</t>
  </si>
  <si>
    <t>ORD-10152</t>
  </si>
  <si>
    <t>ORD-10322</t>
  </si>
  <si>
    <t>ORD-10118</t>
  </si>
  <si>
    <t>ORD-10138</t>
  </si>
  <si>
    <t>ORD-10311</t>
  </si>
  <si>
    <t>ORD-10450</t>
  </si>
  <si>
    <t>ORD-10500</t>
  </si>
  <si>
    <t>ORD-10137</t>
  </si>
  <si>
    <t>ORD-10346</t>
  </si>
  <si>
    <t>ORD-10250</t>
  </si>
  <si>
    <t>ORD-10438</t>
  </si>
  <si>
    <t>ORD-10288</t>
  </si>
  <si>
    <t>ORD-10018</t>
  </si>
  <si>
    <t>ORD-10427</t>
  </si>
  <si>
    <t>ORD-10284</t>
  </si>
  <si>
    <t>ORD-10362</t>
  </si>
  <si>
    <t>ORD-10201</t>
  </si>
  <si>
    <t>ORD-10246</t>
  </si>
  <si>
    <t>ORD-10107</t>
  </si>
  <si>
    <t>ORD-10108</t>
  </si>
  <si>
    <t>ORD-10482</t>
  </si>
  <si>
    <t>ORD-10185</t>
  </si>
  <si>
    <t>ORD-10488</t>
  </si>
  <si>
    <t>ORD-10044</t>
  </si>
  <si>
    <t>ORD-10166</t>
  </si>
  <si>
    <t>ORD-10449</t>
  </si>
  <si>
    <t>ORD-10141</t>
  </si>
  <si>
    <t>ORD-10471</t>
  </si>
  <si>
    <t>ORD-10017</t>
  </si>
  <si>
    <t>ORD-10206</t>
  </si>
  <si>
    <t>ORD-10183</t>
  </si>
  <si>
    <t>ORD-10234</t>
  </si>
  <si>
    <t>ORD-10347</t>
  </si>
  <si>
    <t>ORD-10281</t>
  </si>
  <si>
    <t>ORD-10016</t>
  </si>
  <si>
    <t>ORD-10040</t>
  </si>
  <si>
    <t>ORD-10328</t>
  </si>
  <si>
    <t>ORD-10403</t>
  </si>
  <si>
    <t>ORD-10086</t>
  </si>
  <si>
    <t>ORD-10369</t>
  </si>
  <si>
    <t>ORD-10007</t>
  </si>
  <si>
    <t>ORD-10391</t>
  </si>
  <si>
    <t>ORD-10098</t>
  </si>
  <si>
    <t>ORD-10445</t>
  </si>
  <si>
    <t>ORD-10205</t>
  </si>
  <si>
    <t>ORD-10395</t>
  </si>
  <si>
    <t>ORD-10497</t>
  </si>
  <si>
    <t>ORD-10153</t>
  </si>
  <si>
    <t>ORD-10259</t>
  </si>
  <si>
    <t>ORD-10077</t>
  </si>
  <si>
    <t>ORD-10241</t>
  </si>
  <si>
    <t>ORD-10151</t>
  </si>
  <si>
    <t>ORD-10343</t>
  </si>
  <si>
    <t>ORD-10213</t>
  </si>
  <si>
    <t>ORD-10415</t>
  </si>
  <si>
    <t>ORD-10267</t>
  </si>
  <si>
    <t>ORD-10071</t>
  </si>
  <si>
    <t>ORD-10179</t>
  </si>
  <si>
    <t>ORD-10342</t>
  </si>
  <si>
    <t>ORD-10448</t>
  </si>
  <si>
    <t>ORD-10065</t>
  </si>
  <si>
    <t>ORD-10358</t>
  </si>
  <si>
    <t>ORD-10116</t>
  </si>
  <si>
    <t>ORD-10145</t>
  </si>
  <si>
    <t>ORD-10223</t>
  </si>
  <si>
    <t>ORD-10499</t>
  </si>
  <si>
    <t>ORD-10463</t>
  </si>
  <si>
    <t>ORD-10365</t>
  </si>
  <si>
    <t>ORD-10348</t>
  </si>
  <si>
    <t>ORD-10285</t>
  </si>
  <si>
    <t>ORD-10104</t>
  </si>
  <si>
    <t>ORD-10475</t>
  </si>
  <si>
    <t>ORD-10066</t>
  </si>
  <si>
    <t>ORD-10121</t>
  </si>
  <si>
    <t>ORD-10058</t>
  </si>
  <si>
    <t>ORD-10062</t>
  </si>
  <si>
    <t>ORD-10146</t>
  </si>
  <si>
    <t>ORD-10033</t>
  </si>
  <si>
    <t>ORD-10059</t>
  </si>
  <si>
    <t>ORD-10349</t>
  </si>
  <si>
    <t>ORD-10247</t>
  </si>
  <si>
    <t>ORD-10404</t>
  </si>
  <si>
    <t>ORD-10345</t>
  </si>
  <si>
    <t>ORD-10105</t>
  </si>
  <si>
    <t>ORD-10461</t>
  </si>
  <si>
    <t>ORD-10308</t>
  </si>
  <si>
    <t>ORD-10193</t>
  </si>
  <si>
    <t>ORD-10266</t>
  </si>
  <si>
    <t>ORD-10041</t>
  </si>
  <si>
    <t>ORD-10186</t>
  </si>
  <si>
    <t>ORD-10052</t>
  </si>
  <si>
    <t>ORD-10009</t>
  </si>
  <si>
    <t>ORD-10087</t>
  </si>
  <si>
    <t>ORD-10300</t>
  </si>
  <si>
    <t>ORD-10496</t>
  </si>
  <si>
    <t>ORD-10446</t>
  </si>
  <si>
    <t>ORD-10275</t>
  </si>
  <si>
    <t>ORD-10429</t>
  </si>
  <si>
    <t>ORD-10006</t>
  </si>
  <si>
    <t>ORD-10109</t>
  </si>
  <si>
    <t>ORD-10334</t>
  </si>
  <si>
    <t>ORD-10485</t>
  </si>
  <si>
    <t>ORD-10470</t>
  </si>
  <si>
    <t>ORD-10428</t>
  </si>
  <si>
    <t>ORD-10414</t>
  </si>
  <si>
    <t>ORD-10171</t>
  </si>
  <si>
    <t>ORD-10248</t>
  </si>
  <si>
    <t>ORD-10130</t>
  </si>
  <si>
    <t>ORD-10283</t>
  </si>
  <si>
    <t>ORD-10195</t>
  </si>
  <si>
    <t>ORD-10190</t>
  </si>
  <si>
    <t>ORD-10129</t>
  </si>
  <si>
    <t>ORD-10381</t>
  </si>
  <si>
    <t>ORD-10423</t>
  </si>
  <si>
    <t>ORD-10047</t>
  </si>
  <si>
    <t>ORD-10261</t>
  </si>
  <si>
    <t>ORD-10377</t>
  </si>
  <si>
    <t>ORD-10323</t>
  </si>
  <si>
    <t>ORD-10474</t>
  </si>
  <si>
    <t>ORD-10368</t>
  </si>
  <si>
    <t>ORD-10170</t>
  </si>
  <si>
    <t>ORD-10431</t>
  </si>
  <si>
    <t>ORD-10169</t>
  </si>
  <si>
    <t>ORD-10468</t>
  </si>
  <si>
    <t>ORD-10495</t>
  </si>
  <si>
    <t>ORD-10112</t>
  </si>
  <si>
    <t>ORD-10135</t>
  </si>
  <si>
    <t>ORD-10383</t>
  </si>
  <si>
    <t>ORD-10455</t>
  </si>
  <si>
    <t>ORD-10225</t>
  </si>
  <si>
    <t>ORD-10312</t>
  </si>
  <si>
    <t>ORD-10379</t>
  </si>
  <si>
    <t>ORD-10340</t>
  </si>
  <si>
    <t>ORD-10370</t>
  </si>
  <si>
    <t>ORD-10290</t>
  </si>
  <si>
    <t>ORD-10194</t>
  </si>
  <si>
    <t>ORD-10176</t>
  </si>
  <si>
    <t>ORD-10191</t>
  </si>
  <si>
    <t>ORD-10157</t>
  </si>
  <si>
    <t>ORD-10067</t>
  </si>
  <si>
    <t>ORD-10093</t>
  </si>
  <si>
    <t>ORD-10097</t>
  </si>
  <si>
    <t>ORD-10220</t>
  </si>
  <si>
    <t>ORD-10140</t>
  </si>
  <si>
    <t>ORD-10318</t>
  </si>
  <si>
    <t>ORD-10494</t>
  </si>
  <si>
    <t>ORD-10257</t>
  </si>
  <si>
    <t>ORD-10238</t>
  </si>
  <si>
    <t>ORD-10396</t>
  </si>
  <si>
    <t>ORD-10272</t>
  </si>
  <si>
    <t>ORD-10024</t>
  </si>
  <si>
    <t>ORD-10242</t>
  </si>
  <si>
    <t>ORD-10025</t>
  </si>
  <si>
    <t>ORD-10484</t>
  </si>
  <si>
    <t>ORD-10410</t>
  </si>
  <si>
    <t>ORD-10003</t>
  </si>
  <si>
    <t>ORD-10094</t>
  </si>
  <si>
    <t>ORD-10039</t>
  </si>
  <si>
    <t>ORD-10249</t>
  </si>
  <si>
    <t>ORD-10422</t>
  </si>
  <si>
    <t>ORD-10364</t>
  </si>
  <si>
    <t>ORD-10256</t>
  </si>
  <si>
    <t>ORD-10043</t>
  </si>
  <si>
    <t>ORD-10125</t>
  </si>
  <si>
    <t>ORD-10479</t>
  </si>
  <si>
    <t>ORD-10298</t>
  </si>
  <si>
    <t>ORD-10486</t>
  </si>
  <si>
    <t>ORD-10090</t>
  </si>
  <si>
    <t>ORD-10376</t>
  </si>
  <si>
    <t>ORD-10409</t>
  </si>
  <si>
    <t>ORD-10457</t>
  </si>
  <si>
    <t>ORD-10490</t>
  </si>
  <si>
    <t>ORD-10015</t>
  </si>
  <si>
    <t>ORD-10394</t>
  </si>
  <si>
    <t>ORD-10085</t>
  </si>
  <si>
    <t>ORD-10473</t>
  </si>
  <si>
    <t>ORD-10127</t>
  </si>
  <si>
    <t>ORD-10451</t>
  </si>
  <si>
    <t>ORD-10294</t>
  </si>
  <si>
    <t>ORD-10149</t>
  </si>
  <si>
    <t>ORD-10426</t>
  </si>
  <si>
    <t>ORD-10462</t>
  </si>
  <si>
    <t>ORD-10325</t>
  </si>
  <si>
    <t>ORD-10498</t>
  </si>
  <si>
    <t>ORD-10301</t>
  </si>
  <si>
    <t>ORD-10385</t>
  </si>
  <si>
    <t>ORD-10079</t>
  </si>
  <si>
    <t>ORD-10218</t>
  </si>
  <si>
    <t>ORD-10402</t>
  </si>
  <si>
    <t>ORD-10411</t>
  </si>
  <si>
    <t>ORD-10030</t>
  </si>
  <si>
    <t>ORD-10002</t>
  </si>
  <si>
    <t>ORD-10055</t>
  </si>
  <si>
    <t>ORD-10123</t>
  </si>
  <si>
    <t>ORD-10487</t>
  </si>
  <si>
    <t>ORD-10355</t>
  </si>
  <si>
    <t>ORD-10208</t>
  </si>
  <si>
    <t>ORD-10014</t>
  </si>
  <si>
    <t>ORD-10453</t>
  </si>
  <si>
    <t>ORD-10192</t>
  </si>
  <si>
    <t>ORD-10384</t>
  </si>
  <si>
    <t>ORD-10083</t>
  </si>
  <si>
    <t>ORD-10075</t>
  </si>
  <si>
    <t>ORD-10235</t>
  </si>
  <si>
    <t>ORD-10004</t>
  </si>
  <si>
    <t>ORD-10175</t>
  </si>
  <si>
    <t>ORD-10350</t>
  </si>
  <si>
    <t>ORD-10264</t>
  </si>
  <si>
    <t>ORD-10425</t>
  </si>
  <si>
    <t>ORD-10036</t>
  </si>
  <si>
    <t>ORD-10103</t>
  </si>
  <si>
    <t>ORD-10239</t>
  </si>
  <si>
    <t>ORD-10335</t>
  </si>
  <si>
    <t>ORD-10306</t>
  </si>
  <si>
    <t>ORD-10392</t>
  </si>
  <si>
    <t>ORD-10382</t>
  </si>
  <si>
    <t>ORD-10020</t>
  </si>
  <si>
    <t>ORD-10214</t>
  </si>
  <si>
    <t>ORD-10406</t>
  </si>
  <si>
    <t>ORD-10117</t>
  </si>
  <si>
    <t>ORD-10155</t>
  </si>
  <si>
    <t>ORD-10163</t>
  </si>
  <si>
    <t>ORD-10051</t>
  </si>
  <si>
    <t>ORD-10386</t>
  </si>
  <si>
    <t>ORD-10122</t>
  </si>
  <si>
    <t>ORD-10324</t>
  </si>
  <si>
    <t>ORD-10469</t>
  </si>
  <si>
    <t>ORD-10005</t>
  </si>
  <si>
    <t>ORD-10167</t>
  </si>
  <si>
    <t>ORD-10356</t>
  </si>
  <si>
    <t>ORD-10401</t>
  </si>
  <si>
    <t>ORD-10321</t>
  </si>
  <si>
    <t>ORD-10228</t>
  </si>
  <si>
    <t>ORD-10336</t>
  </si>
  <si>
    <t>ORD-10029</t>
  </si>
  <si>
    <t>ORD-10254</t>
  </si>
  <si>
    <t>ORD-10027</t>
  </si>
  <si>
    <t>ORD-10367</t>
  </si>
  <si>
    <t>ORD-10371</t>
  </si>
  <si>
    <t>ORD-10136</t>
  </si>
  <si>
    <t>ORD-10054</t>
  </si>
  <si>
    <t>ORD-10442</t>
  </si>
  <si>
    <t>ORD-10032</t>
  </si>
  <si>
    <t>ORD-10099</t>
  </si>
  <si>
    <t>ORD-10361</t>
  </si>
  <si>
    <t>ORD-10390</t>
  </si>
  <si>
    <t>ORD-10095</t>
  </si>
  <si>
    <t>ORD-10038</t>
  </si>
  <si>
    <t>ORD-10398</t>
  </si>
  <si>
    <t>ORD-10286</t>
  </si>
  <si>
    <t>ORD-10088</t>
  </si>
  <si>
    <t>ORD-10042</t>
  </si>
  <si>
    <t>ORD-10380</t>
  </si>
  <si>
    <t>ORD-10408</t>
  </si>
  <si>
    <t>ORD-10199</t>
  </si>
  <si>
    <t>ORD-10126</t>
  </si>
  <si>
    <t>ORD-10337</t>
  </si>
  <si>
    <t>ORD-10363</t>
  </si>
  <si>
    <t>ORD-10268</t>
  </si>
  <si>
    <t>ORD-10143</t>
  </si>
  <si>
    <t>ORD-10477</t>
  </si>
  <si>
    <t>ORD-10226</t>
  </si>
  <si>
    <t>ORD-10115</t>
  </si>
  <si>
    <t>ORD-10013</t>
  </si>
  <si>
    <t>ORD-10023</t>
  </si>
  <si>
    <t>ORD-10465</t>
  </si>
  <si>
    <t>ORD-10310</t>
  </si>
  <si>
    <t>ORD-10260</t>
  </si>
  <si>
    <t>ORD-10147</t>
  </si>
  <si>
    <t>ORD-10072</t>
  </si>
  <si>
    <t>ORD-10165</t>
  </si>
  <si>
    <t>ORD-10053</t>
  </si>
  <si>
    <t>ORD-10120</t>
  </si>
  <si>
    <t>ORD-10229</t>
  </si>
  <si>
    <t>ORD-10080</t>
  </si>
  <si>
    <t>ORD-10332</t>
  </si>
  <si>
    <t>ORD-10375</t>
  </si>
  <si>
    <t>ORD-10096</t>
  </si>
  <si>
    <t>ORD-10287</t>
  </si>
  <si>
    <t>ORD-10265</t>
  </si>
  <si>
    <t>ORD-10305</t>
  </si>
  <si>
    <t>ORD-10315</t>
  </si>
  <si>
    <t>ORD-10441</t>
  </si>
  <si>
    <t>ORD-10338</t>
  </si>
  <si>
    <t>ORD-10142</t>
  </si>
  <si>
    <t>ORD-10262</t>
  </si>
  <si>
    <t>ORD-10424</t>
  </si>
  <si>
    <t>ORD-10360</t>
  </si>
  <si>
    <t>ORD-10196</t>
  </si>
  <si>
    <t>ORD-10296</t>
  </si>
  <si>
    <t>ORD-10353</t>
  </si>
  <si>
    <t>ORD-10330</t>
  </si>
  <si>
    <t>ORD-10282</t>
  </si>
  <si>
    <t>ORD-10144</t>
  </si>
  <si>
    <t>ORD-10173</t>
  </si>
  <si>
    <t>ORD-10269</t>
  </si>
  <si>
    <t>ORD-10064</t>
  </si>
  <si>
    <t>ORD-10106</t>
  </si>
  <si>
    <t>ORD-10430</t>
  </si>
  <si>
    <t>ORD-10174</t>
  </si>
  <si>
    <t>ORD-10263</t>
  </si>
  <si>
    <t>ORD-10244</t>
  </si>
  <si>
    <t>ORD-10160</t>
  </si>
  <si>
    <t>ORD-10354</t>
  </si>
  <si>
    <t>ORD-10432</t>
  </si>
  <si>
    <t>ORD-10327</t>
  </si>
  <si>
    <t>ORD-10464</t>
  </si>
  <si>
    <t>ORD-10188</t>
  </si>
  <si>
    <t>ORD-10437</t>
  </si>
  <si>
    <t>ORD-10162</t>
  </si>
  <si>
    <t>ORD-10289</t>
  </si>
  <si>
    <t>ORD-10187</t>
  </si>
  <si>
    <t>ORD-10341</t>
  </si>
  <si>
    <t>ORD-10352</t>
  </si>
  <si>
    <t>ORD-10056</t>
  </si>
  <si>
    <t>ORD-10168</t>
  </si>
  <si>
    <t>ORD-10309</t>
  </si>
  <si>
    <t>ORD-10048</t>
  </si>
  <si>
    <t>ORD-10467</t>
  </si>
  <si>
    <t>ORD-10316</t>
  </si>
  <si>
    <t>ORD-10459</t>
  </si>
  <si>
    <t>ORD-10366</t>
  </si>
  <si>
    <t>ORD-10156</t>
  </si>
  <si>
    <t>ORD-10258</t>
  </si>
  <si>
    <t>ORD-10189</t>
  </si>
  <si>
    <t>ORD-10232</t>
  </si>
  <si>
    <t>ORD-10084</t>
  </si>
  <si>
    <t>ORD-10417</t>
  </si>
  <si>
    <t>ORD-10035</t>
  </si>
  <si>
    <t>ORD-10491</t>
  </si>
  <si>
    <t>ORD-10295</t>
  </si>
  <si>
    <t>ORD-10418</t>
  </si>
  <si>
    <t>ORD-10314</t>
  </si>
  <si>
    <t>ORD-10440</t>
  </si>
  <si>
    <t>ORD-10421</t>
  </si>
  <si>
    <t>ORD-10046</t>
  </si>
  <si>
    <t>ORD-10233</t>
  </si>
  <si>
    <t>ORD-10387</t>
  </si>
  <si>
    <t>ORD-10131</t>
  </si>
  <si>
    <t>ORD-10452</t>
  </si>
  <si>
    <t>ORD-10419</t>
  </si>
  <si>
    <t>ORD-10400</t>
  </si>
  <si>
    <t>ORD-10215</t>
  </si>
  <si>
    <t>ORD-10102</t>
  </si>
  <si>
    <t>ORD-10299</t>
  </si>
  <si>
    <t>ORD-10177</t>
  </si>
  <si>
    <t>ORD-10481</t>
  </si>
  <si>
    <t>ORD-10333</t>
  </si>
  <si>
    <t>ORD-10216</t>
  </si>
  <si>
    <t>ORD-10476</t>
  </si>
  <si>
    <t>ORD-10049</t>
  </si>
  <si>
    <t>ORD-10134</t>
  </si>
  <si>
    <t>ORD-10019</t>
  </si>
  <si>
    <t>ORD-10372</t>
  </si>
  <si>
    <t>ORD-10133</t>
  </si>
  <si>
    <t>ORD-10224</t>
  </si>
  <si>
    <t>ORD-10454</t>
  </si>
  <si>
    <t>ORD-10202</t>
  </si>
  <si>
    <t>ORD-10291</t>
  </si>
  <si>
    <t>ORD-10028</t>
  </si>
  <si>
    <t>ORD-10339</t>
  </si>
  <si>
    <t>ORD-10008</t>
  </si>
  <si>
    <t>ORD-10277</t>
  </si>
  <si>
    <t>ORD-10011</t>
  </si>
  <si>
    <t>ORD-10456</t>
  </si>
  <si>
    <t>ORD-10344</t>
  </si>
  <si>
    <t>ORD-10031</t>
  </si>
  <si>
    <t>ORD-10252</t>
  </si>
  <si>
    <t>ORD-10010</t>
  </si>
  <si>
    <t>ORD-10154</t>
  </si>
  <si>
    <t>ORD-10217</t>
  </si>
  <si>
    <t>ORD-10326</t>
  </si>
  <si>
    <t>ORD-10078</t>
  </si>
  <si>
    <t>ORD-10180</t>
  </si>
  <si>
    <t>ORD-10231</t>
  </si>
  <si>
    <t>ORD-10458</t>
  </si>
  <si>
    <t>ORD-10057</t>
  </si>
  <si>
    <t>ORD-10274</t>
  </si>
  <si>
    <t>ORD-10114</t>
  </si>
  <si>
    <t>ORD-10111</t>
  </si>
  <si>
    <t>ORD-10221</t>
  </si>
  <si>
    <t>ORD-10460</t>
  </si>
  <si>
    <t>ORD-10313</t>
  </si>
  <si>
    <t>ORD-10420</t>
  </si>
  <si>
    <t>ORD-10037</t>
  </si>
  <si>
    <t>ORD-10302</t>
  </si>
  <si>
    <t>ORD-10069</t>
  </si>
  <si>
    <t>ORD-10253</t>
  </si>
  <si>
    <t>ORD-10060</t>
  </si>
  <si>
    <t>ORD-10397</t>
  </si>
  <si>
    <t>ORD-10198</t>
  </si>
  <si>
    <t>ORD-10070</t>
  </si>
  <si>
    <t>ORD-10045</t>
  </si>
  <si>
    <t>ORD-10092</t>
  </si>
  <si>
    <t>ORD-10393</t>
  </si>
  <si>
    <t>ORD-10150</t>
  </si>
  <si>
    <t>ORD-10245</t>
  </si>
  <si>
    <t>ORD-10212</t>
  </si>
  <si>
    <t>ORD-10110</t>
  </si>
  <si>
    <t>ORD-10012</t>
  </si>
  <si>
    <t>ORD-10227</t>
  </si>
  <si>
    <t>ORD-10329</t>
  </si>
  <si>
    <t>ORD-10480</t>
  </si>
  <si>
    <t>ORD-10436</t>
  </si>
  <si>
    <t>ORD-10388</t>
  </si>
  <si>
    <t>ORD-10076</t>
  </si>
  <si>
    <t>ORD-10443</t>
  </si>
  <si>
    <t>ORD-10237</t>
  </si>
  <si>
    <t>ORD-10378</t>
  </si>
  <si>
    <t>ORD-10489</t>
  </si>
  <si>
    <t>ORD-10158</t>
  </si>
  <si>
    <t>ORD-10082</t>
  </si>
  <si>
    <t>ORD-10230</t>
  </si>
  <si>
    <t>ORD-10236</t>
  </si>
  <si>
    <t>ORD-10399</t>
  </si>
  <si>
    <t>ORD-10164</t>
  </si>
  <si>
    <t>ORD-10161</t>
  </si>
  <si>
    <t>ORD-10307</t>
  </si>
  <si>
    <t>ORD-10407</t>
  </si>
  <si>
    <t>ORD-10063</t>
  </si>
  <si>
    <t>ORD-10416</t>
  </si>
  <si>
    <t>ORD-10320</t>
  </si>
  <si>
    <t>ORD-10271</t>
  </si>
  <si>
    <t>ORD-10178</t>
  </si>
  <si>
    <t>ORD-10184</t>
  </si>
  <si>
    <t>ORD-10357</t>
  </si>
  <si>
    <t>ORD-10089</t>
  </si>
  <si>
    <t>ORD-10026</t>
  </si>
  <si>
    <t>ORD-10182</t>
  </si>
  <si>
    <t>ORD-10331</t>
  </si>
  <si>
    <t>ORD-10203</t>
  </si>
  <si>
    <t>ORD-10304</t>
  </si>
  <si>
    <t>ORD-10435</t>
  </si>
  <si>
    <t>ORD-10222</t>
  </si>
  <si>
    <t>CATEGORY</t>
  </si>
  <si>
    <t>PRODUCT COUNT</t>
  </si>
  <si>
    <t>PRODUCT_COUNT_ANALYSIS</t>
  </si>
  <si>
    <t>TOP CATEGORY</t>
  </si>
  <si>
    <t>HIGHEST COUNT</t>
  </si>
  <si>
    <t>PIVOT TABLE</t>
  </si>
  <si>
    <t>Grand Total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</si>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</sst>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8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vertical="center"/>
    </xf>
    <xf numFmtId="0" fontId="2" fillId="3" borderId="1" xfId="0" applyFont="1" applyFill="1" applyBorder="1" applyAlignment="1"/>
    <xf numFmtId="0" fontId="0" fillId="0" borderId="1" xfId="0" applyBorder="1"/>
    <xf numFmtId="0" fontId="1" fillId="4" borderId="1" xfId="0" applyFont="1" applyFill="1" applyBorder="1"/>
    <xf numFmtId="0" fontId="0" fillId="5" borderId="1" xfId="0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[Product_Count_Analysis.xlsx]Count_Analysis!PivotTable2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C00000"/>
                </a:solidFill>
              </a:rPr>
              <a:t>PRODUCT</a:t>
            </a:r>
            <a:r>
              <a:rPr lang="en-IN" b="1" baseline="0">
                <a:solidFill>
                  <a:srgbClr val="C00000"/>
                </a:solidFill>
              </a:rPr>
              <a:t> COUNT BY CATEGORY</a:t>
            </a:r>
            <a:endParaRPr lang="en-IN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Count_Analysis!$C$14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Count_Analysis!$B$15:$B$18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Count_Analysis!$C$15:$C$18</c:f>
              <c:numCache>
                <c:formatCode>General</c:formatCode>
                <c:ptCount val="3"/>
                <c:pt idx="0">
                  <c:v>129</c:v>
                </c:pt>
                <c:pt idx="1">
                  <c:v>207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C-40D4-A06B-AAF19541B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261392"/>
        <c:axId val="217663312"/>
      </c:barChart>
      <c:catAx>
        <c:axId val="2152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63312"/>
        <c:crosses val="autoZero"/>
        <c:auto val="1"/>
        <c:lblAlgn val="ctr"/>
        <c:lblOffset val="100"/>
        <c:noMultiLvlLbl val="0"/>
      </c:catAx>
      <c:valAx>
        <c:axId val="2176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13</xdr:row>
      <xdr:rowOff>11430</xdr:rowOff>
    </xdr:from>
    <xdr:to>
      <xdr:col>11</xdr:col>
      <xdr:colOff>312420</xdr:colOff>
      <xdr:row>28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21E29-DF81-7700-44AC-6FEE1FBF7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 Maddula" refreshedDate="46299.535580902775" createdVersion="8" refreshedVersion="8" minRefreshableVersion="3" recordCount="500" xr:uid="{6432EB71-ADD4-4E00-AC7A-07A15A73B143}">
  <cacheSource type="worksheet">
    <worksheetSource ref="A1:K501" sheet="Raw_Data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Region" numFmtId="0">
      <sharedItems/>
    </cacheField>
    <cacheField name="Segment" numFmtId="0">
      <sharedItems/>
    </cacheField>
    <cacheField name="City" numFmtId="0">
      <sharedItems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minValue="16.440000000000001" maxValue="3068.26"/>
    </cacheField>
    <cacheField name="Profit" numFmtId="0">
      <sharedItems containsSemiMixedTypes="0" containsString="0" containsNumber="1" minValue="-176.35" maxValue="772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10034"/>
    <d v="2024-01-01T00:00:00"/>
    <x v="0"/>
    <s v="Binders"/>
    <s v="West"/>
    <s v="Consumer"/>
    <s v="Boston"/>
    <n v="6"/>
    <n v="0.15"/>
    <n v="455.15"/>
    <n v="21.65"/>
  </r>
  <r>
    <s v="ORD-10447"/>
    <d v="2024-01-03T00:00:00"/>
    <x v="0"/>
    <s v="Binders"/>
    <s v="Central"/>
    <s v="Consumer"/>
    <s v="Houston"/>
    <n v="6"/>
    <n v="0.2"/>
    <n v="525.74"/>
    <n v="40.54"/>
  </r>
  <r>
    <s v="ORD-10389"/>
    <d v="2024-01-03T00:00:00"/>
    <x v="0"/>
    <s v="Art"/>
    <s v="West"/>
    <s v="Consumer"/>
    <s v="Houston"/>
    <n v="5"/>
    <n v="0.05"/>
    <n v="552.55999999999995"/>
    <n v="41.78"/>
  </r>
  <r>
    <s v="ORD-10197"/>
    <d v="2024-01-04T00:00:00"/>
    <x v="0"/>
    <s v="Binders"/>
    <s v="South"/>
    <s v="Consumer"/>
    <s v="Los Angeles"/>
    <n v="2"/>
    <n v="0.15"/>
    <n v="135.9"/>
    <n v="-5.0199999999999996"/>
  </r>
  <r>
    <s v="ORD-10148"/>
    <d v="2024-01-07T00:00:00"/>
    <x v="1"/>
    <s v="Chairs"/>
    <s v="South"/>
    <s v="Corporate"/>
    <s v="Boston"/>
    <n v="9"/>
    <n v="0.15"/>
    <n v="2003.52"/>
    <n v="176.06"/>
  </r>
  <r>
    <s v="ORD-10124"/>
    <d v="2024-01-08T00:00:00"/>
    <x v="2"/>
    <s v="Accessories"/>
    <s v="South"/>
    <s v="Consumer"/>
    <s v="Atlanta"/>
    <n v="8"/>
    <n v="0.15"/>
    <n v="2955.97"/>
    <n v="522.12"/>
  </r>
  <r>
    <s v="ORD-10243"/>
    <d v="2024-01-11T00:00:00"/>
    <x v="0"/>
    <s v="Storage"/>
    <s v="South"/>
    <s v="Home Office"/>
    <s v="Los Angeles"/>
    <n v="5"/>
    <n v="0.1"/>
    <n v="62.14"/>
    <n v="8.17"/>
  </r>
  <r>
    <s v="ORD-10412"/>
    <d v="2024-01-11T00:00:00"/>
    <x v="0"/>
    <s v="Art"/>
    <s v="West"/>
    <s v="Corporate"/>
    <s v="Los Angeles"/>
    <n v="7"/>
    <n v="0.2"/>
    <n v="464.28"/>
    <n v="24.48"/>
  </r>
  <r>
    <s v="ORD-10297"/>
    <d v="2024-01-12T00:00:00"/>
    <x v="0"/>
    <s v="Storage"/>
    <s v="Central"/>
    <s v="Consumer"/>
    <s v="Chicago"/>
    <n v="9"/>
    <n v="0"/>
    <n v="825.55"/>
    <n v="98.94"/>
  </r>
  <r>
    <s v="ORD-10319"/>
    <d v="2024-01-16T00:00:00"/>
    <x v="2"/>
    <s v="Computers"/>
    <s v="West"/>
    <s v="Consumer"/>
    <s v="Chicago"/>
    <n v="9"/>
    <n v="0.05"/>
    <n v="1466.4"/>
    <n v="77.62"/>
  </r>
  <r>
    <s v="ORD-10359"/>
    <d v="2024-01-16T00:00:00"/>
    <x v="0"/>
    <s v="Binders"/>
    <s v="Central"/>
    <s v="Consumer"/>
    <s v="Atlanta"/>
    <n v="6"/>
    <n v="0.05"/>
    <n v="280.56"/>
    <n v="61.49"/>
  </r>
  <r>
    <s v="ORD-10211"/>
    <d v="2024-01-17T00:00:00"/>
    <x v="1"/>
    <s v="Bookcases"/>
    <s v="East"/>
    <s v="Consumer"/>
    <s v="Atlanta"/>
    <n v="9"/>
    <n v="0.2"/>
    <n v="987.12"/>
    <n v="69.78"/>
  </r>
  <r>
    <s v="ORD-10293"/>
    <d v="2024-01-17T00:00:00"/>
    <x v="0"/>
    <s v="Paper"/>
    <s v="West"/>
    <s v="Corporate"/>
    <s v="Seattle"/>
    <n v="4"/>
    <n v="0.15"/>
    <n v="343.31"/>
    <n v="35.520000000000003"/>
  </r>
  <r>
    <s v="ORD-10273"/>
    <d v="2024-01-17T00:00:00"/>
    <x v="0"/>
    <s v="Binders"/>
    <s v="South"/>
    <s v="Corporate"/>
    <s v="Houston"/>
    <n v="3"/>
    <n v="0.15"/>
    <n v="201.22"/>
    <n v="33.5"/>
  </r>
  <r>
    <s v="ORD-10101"/>
    <d v="2024-01-18T00:00:00"/>
    <x v="2"/>
    <s v="Phones"/>
    <s v="South"/>
    <s v="Corporate"/>
    <s v="Los Angeles"/>
    <n v="6"/>
    <n v="0.3"/>
    <n v="865.12"/>
    <n v="72.48"/>
  </r>
  <r>
    <s v="ORD-10100"/>
    <d v="2024-01-19T00:00:00"/>
    <x v="2"/>
    <s v="Phones"/>
    <s v="South"/>
    <s v="Corporate"/>
    <s v="Los Angeles"/>
    <n v="7"/>
    <n v="0.1"/>
    <n v="1691.73"/>
    <n v="429.6"/>
  </r>
  <r>
    <s v="ORD-10439"/>
    <d v="2024-01-20T00:00:00"/>
    <x v="0"/>
    <s v="Storage"/>
    <s v="South"/>
    <s v="Corporate"/>
    <s v="New York"/>
    <n v="9"/>
    <n v="0"/>
    <n v="303.60000000000002"/>
    <n v="31.08"/>
  </r>
  <r>
    <s v="ORD-10001"/>
    <d v="2024-01-23T00:00:00"/>
    <x v="1"/>
    <s v="Tables"/>
    <s v="East"/>
    <s v="Home Office"/>
    <s v="Houston"/>
    <n v="5"/>
    <n v="0.2"/>
    <n v="1064.44"/>
    <n v="57.98"/>
  </r>
  <r>
    <s v="ORD-10061"/>
    <d v="2024-01-25T00:00:00"/>
    <x v="1"/>
    <s v="Chairs"/>
    <s v="West"/>
    <s v="Home Office"/>
    <s v="Chicago"/>
    <n v="5"/>
    <n v="0.1"/>
    <n v="1114.8699999999999"/>
    <n v="115.84"/>
  </r>
  <r>
    <s v="ORD-10279"/>
    <d v="2024-01-25T00:00:00"/>
    <x v="0"/>
    <s v="Paper"/>
    <s v="East"/>
    <s v="Corporate"/>
    <s v="Seattle"/>
    <n v="9"/>
    <n v="0.05"/>
    <n v="502.7"/>
    <n v="165.47"/>
  </r>
  <r>
    <s v="ORD-10219"/>
    <d v="2024-01-27T00:00:00"/>
    <x v="0"/>
    <s v="Paper"/>
    <s v="East"/>
    <s v="Home Office"/>
    <s v="Los Angeles"/>
    <n v="3"/>
    <n v="0.1"/>
    <n v="200.21"/>
    <n v="36.19"/>
  </r>
  <r>
    <s v="ORD-10240"/>
    <d v="2024-01-29T00:00:00"/>
    <x v="2"/>
    <s v="Computers"/>
    <s v="Central"/>
    <s v="Consumer"/>
    <s v="Atlanta"/>
    <n v="3"/>
    <n v="0.3"/>
    <n v="544.51"/>
    <n v="49.25"/>
  </r>
  <r>
    <s v="ORD-10022"/>
    <d v="2024-01-29T00:00:00"/>
    <x v="2"/>
    <s v="Computers"/>
    <s v="East"/>
    <s v="Home Office"/>
    <s v="Boston"/>
    <n v="8"/>
    <n v="0.2"/>
    <n v="2478.6"/>
    <n v="-34.68"/>
  </r>
  <r>
    <s v="ORD-10374"/>
    <d v="2024-01-29T00:00:00"/>
    <x v="0"/>
    <s v="Binders"/>
    <s v="Central"/>
    <s v="Corporate"/>
    <s v="Atlanta"/>
    <n v="1"/>
    <n v="0.2"/>
    <n v="36.479999999999997"/>
    <n v="5.79"/>
  </r>
  <r>
    <s v="ORD-10200"/>
    <d v="2024-01-29T00:00:00"/>
    <x v="0"/>
    <s v="Paper"/>
    <s v="South"/>
    <s v="Home Office"/>
    <s v="Houston"/>
    <n v="8"/>
    <n v="0"/>
    <n v="665.45"/>
    <n v="99.5"/>
  </r>
  <r>
    <s v="ORD-10091"/>
    <d v="2024-02-01T00:00:00"/>
    <x v="2"/>
    <s v="Accessories"/>
    <s v="West"/>
    <s v="Home Office"/>
    <s v="Atlanta"/>
    <n v="1"/>
    <n v="0.2"/>
    <n v="192.14"/>
    <n v="1.93"/>
  </r>
  <r>
    <s v="ORD-10210"/>
    <d v="2024-02-03T00:00:00"/>
    <x v="2"/>
    <s v="Phones"/>
    <s v="Central"/>
    <s v="Corporate"/>
    <s v="Atlanta"/>
    <n v="2"/>
    <n v="0"/>
    <n v="494.65"/>
    <n v="67.010000000000005"/>
  </r>
  <r>
    <s v="ORD-10478"/>
    <d v="2024-02-06T00:00:00"/>
    <x v="1"/>
    <s v="Chairs"/>
    <s v="South"/>
    <s v="Corporate"/>
    <s v="Los Angeles"/>
    <n v="8"/>
    <n v="0"/>
    <n v="1801.72"/>
    <n v="241.13"/>
  </r>
  <r>
    <s v="ORD-10472"/>
    <d v="2024-02-07T00:00:00"/>
    <x v="0"/>
    <s v="Binders"/>
    <s v="Central"/>
    <s v="Home Office"/>
    <s v="Atlanta"/>
    <n v="6"/>
    <n v="0.2"/>
    <n v="684.56"/>
    <n v="79.22"/>
  </r>
  <r>
    <s v="ORD-10280"/>
    <d v="2024-02-08T00:00:00"/>
    <x v="0"/>
    <s v="Art"/>
    <s v="West"/>
    <s v="Consumer"/>
    <s v="Dallas"/>
    <n v="7"/>
    <n v="0.2"/>
    <n v="549.62"/>
    <n v="135.44"/>
  </r>
  <r>
    <s v="ORD-10351"/>
    <d v="2024-02-08T00:00:00"/>
    <x v="1"/>
    <s v="Chairs"/>
    <s v="West"/>
    <s v="Corporate"/>
    <s v="Boston"/>
    <n v="2"/>
    <n v="0.05"/>
    <n v="82.79"/>
    <n v="5.35"/>
  </r>
  <r>
    <s v="ORD-10373"/>
    <d v="2024-02-08T00:00:00"/>
    <x v="2"/>
    <s v="Accessories"/>
    <s v="East"/>
    <s v="Consumer"/>
    <s v="Los Angeles"/>
    <n v="8"/>
    <n v="0.1"/>
    <n v="2045.45"/>
    <n v="19.739999999999998"/>
  </r>
  <r>
    <s v="ORD-10466"/>
    <d v="2024-02-09T00:00:00"/>
    <x v="1"/>
    <s v="Chairs"/>
    <s v="East"/>
    <s v="Home Office"/>
    <s v="Boston"/>
    <n v="2"/>
    <n v="0.1"/>
    <n v="268.85000000000002"/>
    <n v="72.09"/>
  </r>
  <r>
    <s v="ORD-10483"/>
    <d v="2024-02-09T00:00:00"/>
    <x v="1"/>
    <s v="Chairs"/>
    <s v="Central"/>
    <s v="Home Office"/>
    <s v="Boston"/>
    <n v="8"/>
    <n v="0.1"/>
    <n v="1105.8"/>
    <n v="253.59"/>
  </r>
  <r>
    <s v="ORD-10492"/>
    <d v="2024-02-09T00:00:00"/>
    <x v="0"/>
    <s v="Storage"/>
    <s v="East"/>
    <s v="Corporate"/>
    <s v="Seattle"/>
    <n v="1"/>
    <n v="0.1"/>
    <n v="136.58000000000001"/>
    <n v="20.239999999999998"/>
  </r>
  <r>
    <s v="ORD-10493"/>
    <d v="2024-02-09T00:00:00"/>
    <x v="2"/>
    <s v="Accessories"/>
    <s v="West"/>
    <s v="Corporate"/>
    <s v="Chicago"/>
    <n v="1"/>
    <n v="0"/>
    <n v="356.12"/>
    <n v="62.74"/>
  </r>
  <r>
    <s v="ORD-10209"/>
    <d v="2024-02-10T00:00:00"/>
    <x v="2"/>
    <s v="Phones"/>
    <s v="West"/>
    <s v="Consumer"/>
    <s v="Atlanta"/>
    <n v="4"/>
    <n v="0.2"/>
    <n v="667.51"/>
    <n v="50.42"/>
  </r>
  <r>
    <s v="ORD-10278"/>
    <d v="2024-02-11T00:00:00"/>
    <x v="0"/>
    <s v="Binders"/>
    <s v="East"/>
    <s v="Home Office"/>
    <s v="Seattle"/>
    <n v="7"/>
    <n v="0.15"/>
    <n v="762.53"/>
    <n v="60.21"/>
  </r>
  <r>
    <s v="ORD-10207"/>
    <d v="2024-02-11T00:00:00"/>
    <x v="2"/>
    <s v="Phones"/>
    <s v="East"/>
    <s v="Corporate"/>
    <s v="Atlanta"/>
    <n v="5"/>
    <n v="0.1"/>
    <n v="469.56"/>
    <n v="83.66"/>
  </r>
  <r>
    <s v="ORD-10292"/>
    <d v="2024-02-13T00:00:00"/>
    <x v="2"/>
    <s v="Phones"/>
    <s v="West"/>
    <s v="Home Office"/>
    <s v="Chicago"/>
    <n v="8"/>
    <n v="0.1"/>
    <n v="1820.41"/>
    <n v="155.21"/>
  </r>
  <r>
    <s v="ORD-10317"/>
    <d v="2024-02-16T00:00:00"/>
    <x v="1"/>
    <s v="Tables"/>
    <s v="West"/>
    <s v="Home Office"/>
    <s v="Houston"/>
    <n v="1"/>
    <n v="0.2"/>
    <n v="142.13999999999999"/>
    <n v="24.19"/>
  </r>
  <r>
    <s v="ORD-10434"/>
    <d v="2024-02-16T00:00:00"/>
    <x v="2"/>
    <s v="Accessories"/>
    <s v="East"/>
    <s v="Consumer"/>
    <s v="Atlanta"/>
    <n v="2"/>
    <n v="0.1"/>
    <n v="386.88"/>
    <n v="47.25"/>
  </r>
  <r>
    <s v="ORD-10073"/>
    <d v="2024-02-18T00:00:00"/>
    <x v="2"/>
    <s v="Computers"/>
    <s v="East"/>
    <s v="Consumer"/>
    <s v="Atlanta"/>
    <n v="4"/>
    <n v="0.15"/>
    <n v="905.68"/>
    <n v="187.66"/>
  </r>
  <r>
    <s v="ORD-10021"/>
    <d v="2024-02-20T00:00:00"/>
    <x v="0"/>
    <s v="Paper"/>
    <s v="West"/>
    <s v="Consumer"/>
    <s v="Boston"/>
    <n v="4"/>
    <n v="0"/>
    <n v="348.43"/>
    <n v="16.309999999999999"/>
  </r>
  <r>
    <s v="ORD-10132"/>
    <d v="2024-02-20T00:00:00"/>
    <x v="2"/>
    <s v="Accessories"/>
    <s v="East"/>
    <s v="Home Office"/>
    <s v="New York"/>
    <n v="4"/>
    <n v="0.15"/>
    <n v="822.88"/>
    <n v="34.58"/>
  </r>
  <r>
    <s v="ORD-10172"/>
    <d v="2024-02-22T00:00:00"/>
    <x v="2"/>
    <s v="Computers"/>
    <s v="East"/>
    <s v="Home Office"/>
    <s v="Houston"/>
    <n v="1"/>
    <n v="0.05"/>
    <n v="143.69999999999999"/>
    <n v="14.04"/>
  </r>
  <r>
    <s v="ORD-10433"/>
    <d v="2024-02-23T00:00:00"/>
    <x v="0"/>
    <s v="Art"/>
    <s v="Central"/>
    <s v="Corporate"/>
    <s v="Chicago"/>
    <n v="9"/>
    <n v="0.1"/>
    <n v="473.24"/>
    <n v="5.95"/>
  </r>
  <r>
    <s v="ORD-10128"/>
    <d v="2024-02-23T00:00:00"/>
    <x v="0"/>
    <s v="Art"/>
    <s v="East"/>
    <s v="Home Office"/>
    <s v="Seattle"/>
    <n v="4"/>
    <n v="0"/>
    <n v="358.63"/>
    <n v="63.55"/>
  </r>
  <r>
    <s v="ORD-10113"/>
    <d v="2024-02-24T00:00:00"/>
    <x v="0"/>
    <s v="Storage"/>
    <s v="Central"/>
    <s v="Home Office"/>
    <s v="Boston"/>
    <n v="6"/>
    <n v="0.15"/>
    <n v="414.27"/>
    <n v="-2.71"/>
  </r>
  <r>
    <s v="ORD-10119"/>
    <d v="2024-02-24T00:00:00"/>
    <x v="0"/>
    <s v="Paper"/>
    <s v="West"/>
    <s v="Home Office"/>
    <s v="Dallas"/>
    <n v="9"/>
    <n v="0.15"/>
    <n v="649.20000000000005"/>
    <n v="76.599999999999994"/>
  </r>
  <r>
    <s v="ORD-10251"/>
    <d v="2024-02-24T00:00:00"/>
    <x v="2"/>
    <s v="Accessories"/>
    <s v="South"/>
    <s v="Home Office"/>
    <s v="Dallas"/>
    <n v="3"/>
    <n v="0"/>
    <n v="912.64"/>
    <n v="162.77000000000001"/>
  </r>
  <r>
    <s v="ORD-10181"/>
    <d v="2024-02-28T00:00:00"/>
    <x v="1"/>
    <s v="Chairs"/>
    <s v="South"/>
    <s v="Home Office"/>
    <s v="Dallas"/>
    <n v="9"/>
    <n v="0.2"/>
    <n v="1235.2"/>
    <n v="31.56"/>
  </r>
  <r>
    <s v="ORD-10276"/>
    <d v="2024-03-01T00:00:00"/>
    <x v="1"/>
    <s v="Tables"/>
    <s v="East"/>
    <s v="Home Office"/>
    <s v="Los Angeles"/>
    <n v="9"/>
    <n v="0.1"/>
    <n v="1645.06"/>
    <n v="-38.85"/>
  </r>
  <r>
    <s v="ORD-10405"/>
    <d v="2024-03-01T00:00:00"/>
    <x v="1"/>
    <s v="Tables"/>
    <s v="East"/>
    <s v="Home Office"/>
    <s v="Houston"/>
    <n v="8"/>
    <n v="0.15"/>
    <n v="1414.87"/>
    <n v="44.11"/>
  </r>
  <r>
    <s v="ORD-10444"/>
    <d v="2024-03-02T00:00:00"/>
    <x v="1"/>
    <s v="Bookcases"/>
    <s v="West"/>
    <s v="Consumer"/>
    <s v="Houston"/>
    <n v="6"/>
    <n v="0.1"/>
    <n v="1369.97"/>
    <n v="133.55000000000001"/>
  </r>
  <r>
    <s v="ORD-10413"/>
    <d v="2024-03-02T00:00:00"/>
    <x v="0"/>
    <s v="Art"/>
    <s v="South"/>
    <s v="Corporate"/>
    <s v="Chicago"/>
    <n v="7"/>
    <n v="0.15"/>
    <n v="792"/>
    <n v="19.64"/>
  </r>
  <r>
    <s v="ORD-10081"/>
    <d v="2024-03-03T00:00:00"/>
    <x v="0"/>
    <s v="Art"/>
    <s v="Central"/>
    <s v="Corporate"/>
    <s v="Seattle"/>
    <n v="2"/>
    <n v="0.1"/>
    <n v="165.48"/>
    <n v="40.46"/>
  </r>
  <r>
    <s v="ORD-10068"/>
    <d v="2024-03-03T00:00:00"/>
    <x v="0"/>
    <s v="Storage"/>
    <s v="South"/>
    <s v="Consumer"/>
    <s v="Los Angeles"/>
    <n v="9"/>
    <n v="0.1"/>
    <n v="1085.17"/>
    <n v="113.56"/>
  </r>
  <r>
    <s v="ORD-10255"/>
    <d v="2024-03-09T00:00:00"/>
    <x v="2"/>
    <s v="Phones"/>
    <s v="South"/>
    <s v="Home Office"/>
    <s v="Boston"/>
    <n v="2"/>
    <n v="0.1"/>
    <n v="508.95"/>
    <n v="28.2"/>
  </r>
  <r>
    <s v="ORD-10270"/>
    <d v="2024-03-13T00:00:00"/>
    <x v="2"/>
    <s v="Accessories"/>
    <s v="South"/>
    <s v="Home Office"/>
    <s v="Chicago"/>
    <n v="6"/>
    <n v="0.1"/>
    <n v="770.82"/>
    <n v="-2.93"/>
  </r>
  <r>
    <s v="ORD-10050"/>
    <d v="2024-03-15T00:00:00"/>
    <x v="2"/>
    <s v="Phones"/>
    <s v="South"/>
    <s v="Home Office"/>
    <s v="Seattle"/>
    <n v="8"/>
    <n v="0"/>
    <n v="1685.86"/>
    <n v="443.79"/>
  </r>
  <r>
    <s v="ORD-10204"/>
    <d v="2024-03-15T00:00:00"/>
    <x v="0"/>
    <s v="Storage"/>
    <s v="South"/>
    <s v="Corporate"/>
    <s v="Boston"/>
    <n v="5"/>
    <n v="0.1"/>
    <n v="360.05"/>
    <n v="76.03"/>
  </r>
  <r>
    <s v="ORD-10139"/>
    <d v="2024-03-18T00:00:00"/>
    <x v="1"/>
    <s v="Chairs"/>
    <s v="West"/>
    <s v="Home Office"/>
    <s v="Chicago"/>
    <n v="8"/>
    <n v="0.15"/>
    <n v="1590.9"/>
    <n v="324.82"/>
  </r>
  <r>
    <s v="ORD-10303"/>
    <d v="2024-03-21T00:00:00"/>
    <x v="1"/>
    <s v="Chairs"/>
    <s v="Central"/>
    <s v="Corporate"/>
    <s v="Boston"/>
    <n v="9"/>
    <n v="0"/>
    <n v="1818.34"/>
    <n v="428.83"/>
  </r>
  <r>
    <s v="ORD-10159"/>
    <d v="2024-03-22T00:00:00"/>
    <x v="2"/>
    <s v="Accessories"/>
    <s v="East"/>
    <s v="Consumer"/>
    <s v="Los Angeles"/>
    <n v="6"/>
    <n v="0"/>
    <n v="1486.87"/>
    <n v="240.18"/>
  </r>
  <r>
    <s v="ORD-10074"/>
    <d v="2024-03-24T00:00:00"/>
    <x v="0"/>
    <s v="Binders"/>
    <s v="West"/>
    <s v="Home Office"/>
    <s v="Houston"/>
    <n v="9"/>
    <n v="0.1"/>
    <n v="700.15"/>
    <n v="56.03"/>
  </r>
  <r>
    <s v="ORD-10152"/>
    <d v="2024-03-25T00:00:00"/>
    <x v="2"/>
    <s v="Accessories"/>
    <s v="Central"/>
    <s v="Corporate"/>
    <s v="Dallas"/>
    <n v="6"/>
    <n v="0"/>
    <n v="2308.91"/>
    <n v="729.21"/>
  </r>
  <r>
    <s v="ORD-10322"/>
    <d v="2024-03-26T00:00:00"/>
    <x v="0"/>
    <s v="Paper"/>
    <s v="Central"/>
    <s v="Home Office"/>
    <s v="Atlanta"/>
    <n v="3"/>
    <n v="0.2"/>
    <n v="152.47"/>
    <n v="9.26"/>
  </r>
  <r>
    <s v="ORD-10118"/>
    <d v="2024-03-27T00:00:00"/>
    <x v="2"/>
    <s v="Computers"/>
    <s v="Central"/>
    <s v="Corporate"/>
    <s v="Houston"/>
    <n v="4"/>
    <n v="0.15"/>
    <n v="420.44"/>
    <n v="-23.65"/>
  </r>
  <r>
    <s v="ORD-10138"/>
    <d v="2024-03-28T00:00:00"/>
    <x v="0"/>
    <s v="Binders"/>
    <s v="Central"/>
    <s v="Home Office"/>
    <s v="Atlanta"/>
    <n v="3"/>
    <n v="0.2"/>
    <n v="335.58"/>
    <n v="-2.88"/>
  </r>
  <r>
    <s v="ORD-10311"/>
    <d v="2024-03-29T00:00:00"/>
    <x v="1"/>
    <s v="Tables"/>
    <s v="South"/>
    <s v="Home Office"/>
    <s v="Atlanta"/>
    <n v="5"/>
    <n v="0.1"/>
    <n v="885.49"/>
    <n v="146.06"/>
  </r>
  <r>
    <s v="ORD-10450"/>
    <d v="2024-03-29T00:00:00"/>
    <x v="2"/>
    <s v="Accessories"/>
    <s v="West"/>
    <s v="Consumer"/>
    <s v="Chicago"/>
    <n v="2"/>
    <n v="0.3"/>
    <n v="178.68"/>
    <n v="28.57"/>
  </r>
  <r>
    <s v="ORD-10500"/>
    <d v="2024-04-01T00:00:00"/>
    <x v="0"/>
    <s v="Art"/>
    <s v="South"/>
    <s v="Home Office"/>
    <s v="Seattle"/>
    <n v="6"/>
    <n v="0"/>
    <n v="506.4"/>
    <n v="112.77"/>
  </r>
  <r>
    <s v="ORD-10137"/>
    <d v="2024-04-05T00:00:00"/>
    <x v="1"/>
    <s v="Chairs"/>
    <s v="West"/>
    <s v="Corporate"/>
    <s v="Chicago"/>
    <n v="5"/>
    <n v="0.2"/>
    <n v="302.92"/>
    <n v="3.11"/>
  </r>
  <r>
    <s v="ORD-10346"/>
    <d v="2024-04-07T00:00:00"/>
    <x v="0"/>
    <s v="Storage"/>
    <s v="South"/>
    <s v="Consumer"/>
    <s v="Los Angeles"/>
    <n v="6"/>
    <n v="0.2"/>
    <n v="197.33"/>
    <n v="2.72"/>
  </r>
  <r>
    <s v="ORD-10250"/>
    <d v="2024-04-07T00:00:00"/>
    <x v="0"/>
    <s v="Binders"/>
    <s v="East"/>
    <s v="Corporate"/>
    <s v="New York"/>
    <n v="2"/>
    <n v="0.2"/>
    <n v="109.33"/>
    <n v="12.17"/>
  </r>
  <r>
    <s v="ORD-10438"/>
    <d v="2024-04-08T00:00:00"/>
    <x v="0"/>
    <s v="Paper"/>
    <s v="South"/>
    <s v="Home Office"/>
    <s v="Dallas"/>
    <n v="6"/>
    <n v="0"/>
    <n v="590.83000000000004"/>
    <n v="156.41"/>
  </r>
  <r>
    <s v="ORD-10288"/>
    <d v="2024-04-11T00:00:00"/>
    <x v="1"/>
    <s v="Chairs"/>
    <s v="West"/>
    <s v="Home Office"/>
    <s v="Atlanta"/>
    <n v="8"/>
    <n v="0.05"/>
    <n v="1364.4"/>
    <n v="212"/>
  </r>
  <r>
    <s v="ORD-10018"/>
    <d v="2024-04-15T00:00:00"/>
    <x v="1"/>
    <s v="Chairs"/>
    <s v="East"/>
    <s v="Corporate"/>
    <s v="Dallas"/>
    <n v="9"/>
    <n v="0.05"/>
    <n v="1336.37"/>
    <n v="138.68"/>
  </r>
  <r>
    <s v="ORD-10427"/>
    <d v="2024-04-16T00:00:00"/>
    <x v="1"/>
    <s v="Chairs"/>
    <s v="South"/>
    <s v="Home Office"/>
    <s v="Los Angeles"/>
    <n v="1"/>
    <n v="0.2"/>
    <n v="134.38"/>
    <n v="-5.86"/>
  </r>
  <r>
    <s v="ORD-10284"/>
    <d v="2024-04-17T00:00:00"/>
    <x v="2"/>
    <s v="Accessories"/>
    <s v="West"/>
    <s v="Consumer"/>
    <s v="Dallas"/>
    <n v="8"/>
    <n v="0"/>
    <n v="2039.64"/>
    <n v="40.049999999999997"/>
  </r>
  <r>
    <s v="ORD-10362"/>
    <d v="2024-04-17T00:00:00"/>
    <x v="0"/>
    <s v="Storage"/>
    <s v="South"/>
    <s v="Corporate"/>
    <s v="Dallas"/>
    <n v="1"/>
    <n v="0.05"/>
    <n v="37"/>
    <n v="9.1199999999999992"/>
  </r>
  <r>
    <s v="ORD-10201"/>
    <d v="2024-04-18T00:00:00"/>
    <x v="0"/>
    <s v="Storage"/>
    <s v="South"/>
    <s v="Consumer"/>
    <s v="Chicago"/>
    <n v="2"/>
    <n v="0"/>
    <n v="137.80000000000001"/>
    <n v="11.99"/>
  </r>
  <r>
    <s v="ORD-10246"/>
    <d v="2024-04-22T00:00:00"/>
    <x v="0"/>
    <s v="Binders"/>
    <s v="East"/>
    <s v="Consumer"/>
    <s v="Dallas"/>
    <n v="1"/>
    <n v="0"/>
    <n v="50.16"/>
    <n v="6.86"/>
  </r>
  <r>
    <s v="ORD-10107"/>
    <d v="2024-04-22T00:00:00"/>
    <x v="1"/>
    <s v="Chairs"/>
    <s v="Central"/>
    <s v="Consumer"/>
    <s v="Houston"/>
    <n v="1"/>
    <n v="0.05"/>
    <n v="196.4"/>
    <n v="8.85"/>
  </r>
  <r>
    <s v="ORD-10108"/>
    <d v="2024-04-23T00:00:00"/>
    <x v="0"/>
    <s v="Binders"/>
    <s v="East"/>
    <s v="Consumer"/>
    <s v="Chicago"/>
    <n v="7"/>
    <n v="0.05"/>
    <n v="500.7"/>
    <n v="97.53"/>
  </r>
  <r>
    <s v="ORD-10482"/>
    <d v="2024-04-23T00:00:00"/>
    <x v="0"/>
    <s v="Storage"/>
    <s v="Central"/>
    <s v="Consumer"/>
    <s v="New York"/>
    <n v="1"/>
    <n v="0.2"/>
    <n v="68.91"/>
    <n v="3.46"/>
  </r>
  <r>
    <s v="ORD-10185"/>
    <d v="2024-04-24T00:00:00"/>
    <x v="2"/>
    <s v="Phones"/>
    <s v="East"/>
    <s v="Consumer"/>
    <s v="Houston"/>
    <n v="9"/>
    <n v="0.1"/>
    <n v="2259.09"/>
    <n v="584.23"/>
  </r>
  <r>
    <s v="ORD-10488"/>
    <d v="2024-04-24T00:00:00"/>
    <x v="2"/>
    <s v="Accessories"/>
    <s v="West"/>
    <s v="Consumer"/>
    <s v="New York"/>
    <n v="7"/>
    <n v="0.15"/>
    <n v="1871.98"/>
    <n v="145.02000000000001"/>
  </r>
  <r>
    <s v="ORD-10044"/>
    <d v="2024-04-26T00:00:00"/>
    <x v="0"/>
    <s v="Binders"/>
    <s v="East"/>
    <s v="Corporate"/>
    <s v="New York"/>
    <n v="1"/>
    <n v="0"/>
    <n v="106.38"/>
    <n v="20.07"/>
  </r>
  <r>
    <s v="ORD-10166"/>
    <d v="2024-04-28T00:00:00"/>
    <x v="0"/>
    <s v="Art"/>
    <s v="West"/>
    <s v="Consumer"/>
    <s v="Atlanta"/>
    <n v="4"/>
    <n v="0"/>
    <n v="470.83"/>
    <n v="110.79"/>
  </r>
  <r>
    <s v="ORD-10449"/>
    <d v="2024-04-29T00:00:00"/>
    <x v="1"/>
    <s v="Tables"/>
    <s v="East"/>
    <s v="Consumer"/>
    <s v="Dallas"/>
    <n v="8"/>
    <n v="0.2"/>
    <n v="552.47"/>
    <n v="104.47"/>
  </r>
  <r>
    <s v="ORD-10141"/>
    <d v="2024-04-29T00:00:00"/>
    <x v="0"/>
    <s v="Paper"/>
    <s v="West"/>
    <s v="Home Office"/>
    <s v="New York"/>
    <n v="8"/>
    <n v="0.1"/>
    <n v="243.8"/>
    <n v="9.11"/>
  </r>
  <r>
    <s v="ORD-10471"/>
    <d v="2024-05-03T00:00:00"/>
    <x v="2"/>
    <s v="Computers"/>
    <s v="West"/>
    <s v="Home Office"/>
    <s v="Los Angeles"/>
    <n v="5"/>
    <n v="0.2"/>
    <n v="537.71"/>
    <n v="-1.83"/>
  </r>
  <r>
    <s v="ORD-10017"/>
    <d v="2024-05-06T00:00:00"/>
    <x v="2"/>
    <s v="Accessories"/>
    <s v="Central"/>
    <s v="Consumer"/>
    <s v="Chicago"/>
    <n v="6"/>
    <n v="0.1"/>
    <n v="1058.6500000000001"/>
    <n v="97.49"/>
  </r>
  <r>
    <s v="ORD-10206"/>
    <d v="2024-05-07T00:00:00"/>
    <x v="2"/>
    <s v="Phones"/>
    <s v="Central"/>
    <s v="Corporate"/>
    <s v="Seattle"/>
    <n v="1"/>
    <n v="0.1"/>
    <n v="258.63"/>
    <n v="66.69"/>
  </r>
  <r>
    <s v="ORD-10183"/>
    <d v="2024-05-07T00:00:00"/>
    <x v="0"/>
    <s v="Binders"/>
    <s v="West"/>
    <s v="Home Office"/>
    <s v="Chicago"/>
    <n v="1"/>
    <n v="0.15"/>
    <n v="89.82"/>
    <n v="5.14"/>
  </r>
  <r>
    <s v="ORD-10234"/>
    <d v="2024-05-09T00:00:00"/>
    <x v="1"/>
    <s v="Bookcases"/>
    <s v="East"/>
    <s v="Consumer"/>
    <s v="Seattle"/>
    <n v="7"/>
    <n v="0"/>
    <n v="915.78"/>
    <n v="155.75"/>
  </r>
  <r>
    <s v="ORD-10347"/>
    <d v="2024-05-10T00:00:00"/>
    <x v="0"/>
    <s v="Art"/>
    <s v="East"/>
    <s v="Home Office"/>
    <s v="Los Angeles"/>
    <n v="3"/>
    <n v="0"/>
    <n v="248.73"/>
    <n v="39.020000000000003"/>
  </r>
  <r>
    <s v="ORD-10281"/>
    <d v="2024-05-10T00:00:00"/>
    <x v="0"/>
    <s v="Paper"/>
    <s v="East"/>
    <s v="Corporate"/>
    <s v="Houston"/>
    <n v="9"/>
    <n v="0.2"/>
    <n v="682.89"/>
    <n v="12.1"/>
  </r>
  <r>
    <s v="ORD-10016"/>
    <d v="2024-05-12T00:00:00"/>
    <x v="2"/>
    <s v="Computers"/>
    <s v="South"/>
    <s v="Home Office"/>
    <s v="Seattle"/>
    <n v="4"/>
    <n v="0.1"/>
    <n v="1131.28"/>
    <n v="-88.23"/>
  </r>
  <r>
    <s v="ORD-10040"/>
    <d v="2024-05-16T00:00:00"/>
    <x v="1"/>
    <s v="Tables"/>
    <s v="South"/>
    <s v="Corporate"/>
    <s v="Los Angeles"/>
    <n v="9"/>
    <n v="0.2"/>
    <n v="1499.49"/>
    <n v="137.47"/>
  </r>
  <r>
    <s v="ORD-10328"/>
    <d v="2024-05-16T00:00:00"/>
    <x v="0"/>
    <s v="Storage"/>
    <s v="South"/>
    <s v="Consumer"/>
    <s v="Chicago"/>
    <n v="7"/>
    <n v="0.15"/>
    <n v="535.30999999999995"/>
    <n v="151"/>
  </r>
  <r>
    <s v="ORD-10403"/>
    <d v="2024-05-19T00:00:00"/>
    <x v="1"/>
    <s v="Bookcases"/>
    <s v="South"/>
    <s v="Consumer"/>
    <s v="Los Angeles"/>
    <n v="3"/>
    <n v="0.1"/>
    <n v="645.11"/>
    <n v="58"/>
  </r>
  <r>
    <s v="ORD-10086"/>
    <d v="2024-05-20T00:00:00"/>
    <x v="1"/>
    <s v="Tables"/>
    <s v="East"/>
    <s v="Home Office"/>
    <s v="Seattle"/>
    <n v="1"/>
    <n v="0.1"/>
    <n v="138.04"/>
    <n v="11.37"/>
  </r>
  <r>
    <s v="ORD-10369"/>
    <d v="2024-05-20T00:00:00"/>
    <x v="2"/>
    <s v="Computers"/>
    <s v="West"/>
    <s v="Corporate"/>
    <s v="Dallas"/>
    <n v="3"/>
    <n v="0.15"/>
    <n v="1003.54"/>
    <n v="70.260000000000005"/>
  </r>
  <r>
    <s v="ORD-10007"/>
    <d v="2024-05-20T00:00:00"/>
    <x v="2"/>
    <s v="Phones"/>
    <s v="Central"/>
    <s v="Consumer"/>
    <s v="Boston"/>
    <n v="6"/>
    <n v="0"/>
    <n v="1188.26"/>
    <n v="159.24"/>
  </r>
  <r>
    <s v="ORD-10391"/>
    <d v="2024-05-21T00:00:00"/>
    <x v="0"/>
    <s v="Binders"/>
    <s v="Central"/>
    <s v="Home Office"/>
    <s v="Seattle"/>
    <n v="9"/>
    <n v="0.2"/>
    <n v="220.19"/>
    <n v="2.38"/>
  </r>
  <r>
    <s v="ORD-10098"/>
    <d v="2024-05-23T00:00:00"/>
    <x v="1"/>
    <s v="Tables"/>
    <s v="Central"/>
    <s v="Corporate"/>
    <s v="Seattle"/>
    <n v="2"/>
    <n v="0.1"/>
    <n v="254.35"/>
    <n v="62.7"/>
  </r>
  <r>
    <s v="ORD-10445"/>
    <d v="2024-05-24T00:00:00"/>
    <x v="0"/>
    <s v="Storage"/>
    <s v="West"/>
    <s v="Home Office"/>
    <s v="New York"/>
    <n v="5"/>
    <n v="0.1"/>
    <n v="389.45"/>
    <n v="47.82"/>
  </r>
  <r>
    <s v="ORD-10205"/>
    <d v="2024-05-25T00:00:00"/>
    <x v="0"/>
    <s v="Art"/>
    <s v="West"/>
    <s v="Corporate"/>
    <s v="Seattle"/>
    <n v="8"/>
    <n v="0.2"/>
    <n v="280.56"/>
    <n v="8.61"/>
  </r>
  <r>
    <s v="ORD-10395"/>
    <d v="2024-05-25T00:00:00"/>
    <x v="1"/>
    <s v="Tables"/>
    <s v="South"/>
    <s v="Corporate"/>
    <s v="Dallas"/>
    <n v="3"/>
    <n v="0"/>
    <n v="510.42"/>
    <n v="9.15"/>
  </r>
  <r>
    <s v="ORD-10497"/>
    <d v="2024-05-26T00:00:00"/>
    <x v="1"/>
    <s v="Tables"/>
    <s v="East"/>
    <s v="Home Office"/>
    <s v="Los Angeles"/>
    <n v="3"/>
    <n v="0.1"/>
    <n v="633.36"/>
    <n v="-22.77"/>
  </r>
  <r>
    <s v="ORD-10153"/>
    <d v="2024-05-26T00:00:00"/>
    <x v="2"/>
    <s v="Accessories"/>
    <s v="South"/>
    <s v="Corporate"/>
    <s v="Chicago"/>
    <n v="2"/>
    <n v="0.2"/>
    <n v="409.74"/>
    <n v="10.210000000000001"/>
  </r>
  <r>
    <s v="ORD-10259"/>
    <d v="2024-05-27T00:00:00"/>
    <x v="1"/>
    <s v="Chairs"/>
    <s v="East"/>
    <s v="Home Office"/>
    <s v="Boston"/>
    <n v="5"/>
    <n v="0.15"/>
    <n v="918.32"/>
    <n v="145.77000000000001"/>
  </r>
  <r>
    <s v="ORD-10077"/>
    <d v="2024-05-27T00:00:00"/>
    <x v="0"/>
    <s v="Binders"/>
    <s v="South"/>
    <s v="Home Office"/>
    <s v="Chicago"/>
    <n v="7"/>
    <n v="0.1"/>
    <n v="674.66"/>
    <n v="112.38"/>
  </r>
  <r>
    <s v="ORD-10241"/>
    <d v="2024-05-28T00:00:00"/>
    <x v="0"/>
    <s v="Storage"/>
    <s v="Central"/>
    <s v="Corporate"/>
    <s v="Seattle"/>
    <n v="9"/>
    <n v="0"/>
    <n v="638.29"/>
    <n v="77.19"/>
  </r>
  <r>
    <s v="ORD-10151"/>
    <d v="2024-05-30T00:00:00"/>
    <x v="0"/>
    <s v="Paper"/>
    <s v="East"/>
    <s v="Home Office"/>
    <s v="Houston"/>
    <n v="4"/>
    <n v="0"/>
    <n v="165.16"/>
    <n v="32.64"/>
  </r>
  <r>
    <s v="ORD-10343"/>
    <d v="2024-05-31T00:00:00"/>
    <x v="2"/>
    <s v="Phones"/>
    <s v="West"/>
    <s v="Corporate"/>
    <s v="Houston"/>
    <n v="7"/>
    <n v="0.05"/>
    <n v="1846.22"/>
    <n v="104.44"/>
  </r>
  <r>
    <s v="ORD-10213"/>
    <d v="2024-06-01T00:00:00"/>
    <x v="0"/>
    <s v="Art"/>
    <s v="South"/>
    <s v="Home Office"/>
    <s v="Los Angeles"/>
    <n v="2"/>
    <n v="0"/>
    <n v="201.29"/>
    <n v="28.84"/>
  </r>
  <r>
    <s v="ORD-10415"/>
    <d v="2024-06-01T00:00:00"/>
    <x v="0"/>
    <s v="Art"/>
    <s v="West"/>
    <s v="Corporate"/>
    <s v="Houston"/>
    <n v="4"/>
    <n v="0.15"/>
    <n v="294.27"/>
    <n v="20.73"/>
  </r>
  <r>
    <s v="ORD-10267"/>
    <d v="2024-06-02T00:00:00"/>
    <x v="0"/>
    <s v="Storage"/>
    <s v="South"/>
    <s v="Home Office"/>
    <s v="Atlanta"/>
    <n v="8"/>
    <n v="0"/>
    <n v="526.12"/>
    <n v="65.66"/>
  </r>
  <r>
    <s v="ORD-10071"/>
    <d v="2024-06-04T00:00:00"/>
    <x v="0"/>
    <s v="Paper"/>
    <s v="West"/>
    <s v="Home Office"/>
    <s v="Los Angeles"/>
    <n v="2"/>
    <n v="0.1"/>
    <n v="91.74"/>
    <n v="22.92"/>
  </r>
  <r>
    <s v="ORD-10179"/>
    <d v="2024-06-06T00:00:00"/>
    <x v="0"/>
    <s v="Binders"/>
    <s v="South"/>
    <s v="Consumer"/>
    <s v="New York"/>
    <n v="7"/>
    <n v="0.2"/>
    <n v="568.45000000000005"/>
    <n v="33.71"/>
  </r>
  <r>
    <s v="ORD-10342"/>
    <d v="2024-06-07T00:00:00"/>
    <x v="1"/>
    <s v="Tables"/>
    <s v="West"/>
    <s v="Corporate"/>
    <s v="Houston"/>
    <n v="4"/>
    <n v="0.05"/>
    <n v="839.89"/>
    <n v="177.94"/>
  </r>
  <r>
    <s v="ORD-10448"/>
    <d v="2024-06-08T00:00:00"/>
    <x v="0"/>
    <s v="Art"/>
    <s v="East"/>
    <s v="Corporate"/>
    <s v="Chicago"/>
    <n v="3"/>
    <n v="0.2"/>
    <n v="205.37"/>
    <n v="25.14"/>
  </r>
  <r>
    <s v="ORD-10065"/>
    <d v="2024-06-09T00:00:00"/>
    <x v="2"/>
    <s v="Phones"/>
    <s v="South"/>
    <s v="Home Office"/>
    <s v="Atlanta"/>
    <n v="3"/>
    <n v="0.15"/>
    <n v="1057.49"/>
    <n v="133.36000000000001"/>
  </r>
  <r>
    <s v="ORD-10358"/>
    <d v="2024-06-09T00:00:00"/>
    <x v="1"/>
    <s v="Tables"/>
    <s v="East"/>
    <s v="Corporate"/>
    <s v="Chicago"/>
    <n v="6"/>
    <n v="0.1"/>
    <n v="1416.81"/>
    <n v="58.1"/>
  </r>
  <r>
    <s v="ORD-10116"/>
    <d v="2024-06-10T00:00:00"/>
    <x v="0"/>
    <s v="Art"/>
    <s v="Central"/>
    <s v="Corporate"/>
    <s v="Dallas"/>
    <n v="5"/>
    <n v="0.2"/>
    <n v="175.8"/>
    <n v="25.57"/>
  </r>
  <r>
    <s v="ORD-10145"/>
    <d v="2024-06-13T00:00:00"/>
    <x v="2"/>
    <s v="Phones"/>
    <s v="East"/>
    <s v="Consumer"/>
    <s v="Atlanta"/>
    <n v="5"/>
    <n v="0"/>
    <n v="682.99"/>
    <n v="118.07"/>
  </r>
  <r>
    <s v="ORD-10223"/>
    <d v="2024-06-16T00:00:00"/>
    <x v="2"/>
    <s v="Computers"/>
    <s v="West"/>
    <s v="Corporate"/>
    <s v="Atlanta"/>
    <n v="2"/>
    <n v="0"/>
    <n v="215.99"/>
    <n v="42.07"/>
  </r>
  <r>
    <s v="ORD-10499"/>
    <d v="2024-06-16T00:00:00"/>
    <x v="0"/>
    <s v="Paper"/>
    <s v="South"/>
    <s v="Consumer"/>
    <s v="Seattle"/>
    <n v="1"/>
    <n v="0.1"/>
    <n v="86.67"/>
    <n v="12.83"/>
  </r>
  <r>
    <s v="ORD-10463"/>
    <d v="2024-06-18T00:00:00"/>
    <x v="0"/>
    <s v="Paper"/>
    <s v="West"/>
    <s v="Home Office"/>
    <s v="Dallas"/>
    <n v="6"/>
    <n v="0.05"/>
    <n v="488.25"/>
    <n v="96.5"/>
  </r>
  <r>
    <s v="ORD-10365"/>
    <d v="2024-06-18T00:00:00"/>
    <x v="0"/>
    <s v="Binders"/>
    <s v="West"/>
    <s v="Consumer"/>
    <s v="Chicago"/>
    <n v="3"/>
    <n v="0.2"/>
    <n v="201.22"/>
    <n v="-4.4400000000000004"/>
  </r>
  <r>
    <s v="ORD-10348"/>
    <d v="2024-06-19T00:00:00"/>
    <x v="2"/>
    <s v="Phones"/>
    <s v="East"/>
    <s v="Home Office"/>
    <s v="Boston"/>
    <n v="6"/>
    <n v="0.15"/>
    <n v="1016.6"/>
    <n v="104.2"/>
  </r>
  <r>
    <s v="ORD-10285"/>
    <d v="2024-06-20T00:00:00"/>
    <x v="1"/>
    <s v="Chairs"/>
    <s v="West"/>
    <s v="Corporate"/>
    <s v="Dallas"/>
    <n v="6"/>
    <n v="0.15"/>
    <n v="960.78"/>
    <n v="69.599999999999994"/>
  </r>
  <r>
    <s v="ORD-10104"/>
    <d v="2024-06-23T00:00:00"/>
    <x v="1"/>
    <s v="Bookcases"/>
    <s v="South"/>
    <s v="Consumer"/>
    <s v="Houston"/>
    <n v="6"/>
    <n v="0.15"/>
    <n v="1027.26"/>
    <n v="38.76"/>
  </r>
  <r>
    <s v="ORD-10475"/>
    <d v="2024-06-24T00:00:00"/>
    <x v="1"/>
    <s v="Chairs"/>
    <s v="Central"/>
    <s v="Corporate"/>
    <s v="Houston"/>
    <n v="3"/>
    <n v="0.05"/>
    <n v="855.21"/>
    <n v="205.08"/>
  </r>
  <r>
    <s v="ORD-10066"/>
    <d v="2024-06-25T00:00:00"/>
    <x v="1"/>
    <s v="Tables"/>
    <s v="West"/>
    <s v="Consumer"/>
    <s v="Dallas"/>
    <n v="9"/>
    <n v="0.2"/>
    <n v="1300.5"/>
    <n v="94.18"/>
  </r>
  <r>
    <s v="ORD-10121"/>
    <d v="2024-06-26T00:00:00"/>
    <x v="0"/>
    <s v="Paper"/>
    <s v="West"/>
    <s v="Corporate"/>
    <s v="Seattle"/>
    <n v="1"/>
    <n v="0.05"/>
    <n v="121.37"/>
    <n v="25.85"/>
  </r>
  <r>
    <s v="ORD-10058"/>
    <d v="2024-06-27T00:00:00"/>
    <x v="2"/>
    <s v="Phones"/>
    <s v="South"/>
    <s v="Consumer"/>
    <s v="Chicago"/>
    <n v="5"/>
    <n v="0.05"/>
    <n v="1095.96"/>
    <n v="274.07"/>
  </r>
  <r>
    <s v="ORD-10062"/>
    <d v="2024-06-28T00:00:00"/>
    <x v="2"/>
    <s v="Accessories"/>
    <s v="Central"/>
    <s v="Corporate"/>
    <s v="Dallas"/>
    <n v="8"/>
    <n v="0.15"/>
    <n v="1916.06"/>
    <n v="359.67"/>
  </r>
  <r>
    <s v="ORD-10146"/>
    <d v="2024-06-30T00:00:00"/>
    <x v="2"/>
    <s v="Computers"/>
    <s v="West"/>
    <s v="Consumer"/>
    <s v="Los Angeles"/>
    <n v="8"/>
    <n v="0.05"/>
    <n v="2237.21"/>
    <n v="772.24"/>
  </r>
  <r>
    <s v="ORD-10033"/>
    <d v="2024-06-30T00:00:00"/>
    <x v="2"/>
    <s v="Accessories"/>
    <s v="Central"/>
    <s v="Consumer"/>
    <s v="Seattle"/>
    <n v="9"/>
    <n v="0.3"/>
    <n v="1065.3699999999999"/>
    <n v="190.34"/>
  </r>
  <r>
    <s v="ORD-10059"/>
    <d v="2024-06-30T00:00:00"/>
    <x v="2"/>
    <s v="Computers"/>
    <s v="West"/>
    <s v="Corporate"/>
    <s v="New York"/>
    <n v="3"/>
    <n v="0.05"/>
    <n v="776.35"/>
    <n v="116.49"/>
  </r>
  <r>
    <s v="ORD-10349"/>
    <d v="2024-07-01T00:00:00"/>
    <x v="1"/>
    <s v="Bookcases"/>
    <s v="East"/>
    <s v="Consumer"/>
    <s v="Houston"/>
    <n v="2"/>
    <n v="0.2"/>
    <n v="432.69"/>
    <n v="1.61"/>
  </r>
  <r>
    <s v="ORD-10247"/>
    <d v="2024-07-05T00:00:00"/>
    <x v="1"/>
    <s v="Tables"/>
    <s v="East"/>
    <s v="Consumer"/>
    <s v="Dallas"/>
    <n v="7"/>
    <n v="0.15"/>
    <n v="783.48"/>
    <n v="127.92"/>
  </r>
  <r>
    <s v="ORD-10404"/>
    <d v="2024-07-05T00:00:00"/>
    <x v="0"/>
    <s v="Paper"/>
    <s v="West"/>
    <s v="Corporate"/>
    <s v="Dallas"/>
    <n v="8"/>
    <n v="0.2"/>
    <n v="475.43"/>
    <n v="56.29"/>
  </r>
  <r>
    <s v="ORD-10345"/>
    <d v="2024-07-06T00:00:00"/>
    <x v="1"/>
    <s v="Bookcases"/>
    <s v="Central"/>
    <s v="Consumer"/>
    <s v="Los Angeles"/>
    <n v="4"/>
    <n v="0.1"/>
    <n v="976"/>
    <n v="86.08"/>
  </r>
  <r>
    <s v="ORD-10105"/>
    <d v="2024-07-12T00:00:00"/>
    <x v="0"/>
    <s v="Storage"/>
    <s v="East"/>
    <s v="Consumer"/>
    <s v="Atlanta"/>
    <n v="3"/>
    <n v="0.05"/>
    <n v="281.58"/>
    <n v="85.71"/>
  </r>
  <r>
    <s v="ORD-10461"/>
    <d v="2024-07-13T00:00:00"/>
    <x v="2"/>
    <s v="Computers"/>
    <s v="East"/>
    <s v="Corporate"/>
    <s v="Dallas"/>
    <n v="8"/>
    <n v="0.1"/>
    <n v="1524.31"/>
    <n v="182.96"/>
  </r>
  <r>
    <s v="ORD-10308"/>
    <d v="2024-07-18T00:00:00"/>
    <x v="1"/>
    <s v="Chairs"/>
    <s v="East"/>
    <s v="Corporate"/>
    <s v="Atlanta"/>
    <n v="1"/>
    <n v="0.05"/>
    <n v="165.05"/>
    <n v="23.79"/>
  </r>
  <r>
    <s v="ORD-10193"/>
    <d v="2024-07-19T00:00:00"/>
    <x v="0"/>
    <s v="Binders"/>
    <s v="South"/>
    <s v="Corporate"/>
    <s v="Dallas"/>
    <n v="2"/>
    <n v="0.1"/>
    <n v="122.81"/>
    <n v="18.77"/>
  </r>
  <r>
    <s v="ORD-10266"/>
    <d v="2024-07-19T00:00:00"/>
    <x v="0"/>
    <s v="Art"/>
    <s v="South"/>
    <s v="Consumer"/>
    <s v="Chicago"/>
    <n v="8"/>
    <n v="0.3"/>
    <n v="288"/>
    <n v="10.97"/>
  </r>
  <r>
    <s v="ORD-10041"/>
    <d v="2024-07-20T00:00:00"/>
    <x v="2"/>
    <s v="Accessories"/>
    <s v="Central"/>
    <s v="Home Office"/>
    <s v="Atlanta"/>
    <n v="5"/>
    <n v="0.1"/>
    <n v="985.29"/>
    <n v="38.11"/>
  </r>
  <r>
    <s v="ORD-10186"/>
    <d v="2024-07-27T00:00:00"/>
    <x v="0"/>
    <s v="Art"/>
    <s v="East"/>
    <s v="Home Office"/>
    <s v="Boston"/>
    <n v="4"/>
    <n v="0.05"/>
    <n v="39.22"/>
    <n v="4.22"/>
  </r>
  <r>
    <s v="ORD-10052"/>
    <d v="2024-07-28T00:00:00"/>
    <x v="0"/>
    <s v="Art"/>
    <s v="West"/>
    <s v="Home Office"/>
    <s v="Los Angeles"/>
    <n v="5"/>
    <n v="0.3"/>
    <n v="463.86"/>
    <n v="15.78"/>
  </r>
  <r>
    <s v="ORD-10009"/>
    <d v="2024-07-28T00:00:00"/>
    <x v="0"/>
    <s v="Art"/>
    <s v="East"/>
    <s v="Consumer"/>
    <s v="Los Angeles"/>
    <n v="7"/>
    <n v="0.05"/>
    <n v="683.18"/>
    <n v="175.75"/>
  </r>
  <r>
    <s v="ORD-10087"/>
    <d v="2024-08-02T00:00:00"/>
    <x v="0"/>
    <s v="Paper"/>
    <s v="West"/>
    <s v="Consumer"/>
    <s v="New York"/>
    <n v="2"/>
    <n v="0.1"/>
    <n v="141.25"/>
    <n v="8.98"/>
  </r>
  <r>
    <s v="ORD-10300"/>
    <d v="2024-08-03T00:00:00"/>
    <x v="2"/>
    <s v="Computers"/>
    <s v="South"/>
    <s v="Home Office"/>
    <s v="Chicago"/>
    <n v="4"/>
    <n v="0"/>
    <n v="921.83"/>
    <n v="140.94"/>
  </r>
  <r>
    <s v="ORD-10496"/>
    <d v="2024-08-03T00:00:00"/>
    <x v="1"/>
    <s v="Tables"/>
    <s v="East"/>
    <s v="Consumer"/>
    <s v="Boston"/>
    <n v="2"/>
    <n v="0.1"/>
    <n v="251.82"/>
    <n v="47.52"/>
  </r>
  <r>
    <s v="ORD-10446"/>
    <d v="2024-08-03T00:00:00"/>
    <x v="0"/>
    <s v="Binders"/>
    <s v="West"/>
    <s v="Home Office"/>
    <s v="Chicago"/>
    <n v="2"/>
    <n v="0.1"/>
    <n v="89.97"/>
    <n v="8.57"/>
  </r>
  <r>
    <s v="ORD-10275"/>
    <d v="2024-08-04T00:00:00"/>
    <x v="1"/>
    <s v="Bookcases"/>
    <s v="West"/>
    <s v="Home Office"/>
    <s v="Seattle"/>
    <n v="3"/>
    <n v="0.15"/>
    <n v="545.16999999999996"/>
    <n v="30.83"/>
  </r>
  <r>
    <s v="ORD-10429"/>
    <d v="2024-08-05T00:00:00"/>
    <x v="1"/>
    <s v="Bookcases"/>
    <s v="East"/>
    <s v="Corporate"/>
    <s v="Seattle"/>
    <n v="3"/>
    <n v="0.2"/>
    <n v="396.28"/>
    <n v="53.28"/>
  </r>
  <r>
    <s v="ORD-10006"/>
    <d v="2024-08-05T00:00:00"/>
    <x v="2"/>
    <s v="Phones"/>
    <s v="East"/>
    <s v="Home Office"/>
    <s v="Houston"/>
    <n v="4"/>
    <n v="0"/>
    <n v="922.96"/>
    <n v="73.41"/>
  </r>
  <r>
    <s v="ORD-10109"/>
    <d v="2024-08-09T00:00:00"/>
    <x v="2"/>
    <s v="Computers"/>
    <s v="Central"/>
    <s v="Consumer"/>
    <s v="Dallas"/>
    <n v="5"/>
    <n v="0"/>
    <n v="1427.15"/>
    <n v="185.26"/>
  </r>
  <r>
    <s v="ORD-10334"/>
    <d v="2024-08-10T00:00:00"/>
    <x v="2"/>
    <s v="Accessories"/>
    <s v="Central"/>
    <s v="Home Office"/>
    <s v="Dallas"/>
    <n v="6"/>
    <n v="0.15"/>
    <n v="1148.5899999999999"/>
    <n v="210.69"/>
  </r>
  <r>
    <s v="ORD-10485"/>
    <d v="2024-08-11T00:00:00"/>
    <x v="1"/>
    <s v="Bookcases"/>
    <s v="Central"/>
    <s v="Consumer"/>
    <s v="Boston"/>
    <n v="2"/>
    <n v="0.2"/>
    <n v="452.12"/>
    <n v="71.150000000000006"/>
  </r>
  <r>
    <s v="ORD-10470"/>
    <d v="2024-08-13T00:00:00"/>
    <x v="0"/>
    <s v="Paper"/>
    <s v="South"/>
    <s v="Home Office"/>
    <s v="New York"/>
    <n v="9"/>
    <n v="0.15"/>
    <n v="885.82"/>
    <n v="65.52"/>
  </r>
  <r>
    <s v="ORD-10428"/>
    <d v="2024-08-13T00:00:00"/>
    <x v="0"/>
    <s v="Storage"/>
    <s v="Central"/>
    <s v="Corporate"/>
    <s v="Boston"/>
    <n v="1"/>
    <n v="0"/>
    <n v="78.97"/>
    <n v="9.2799999999999994"/>
  </r>
  <r>
    <s v="ORD-10414"/>
    <d v="2024-08-13T00:00:00"/>
    <x v="1"/>
    <s v="Bookcases"/>
    <s v="South"/>
    <s v="Corporate"/>
    <s v="Dallas"/>
    <n v="1"/>
    <n v="0.2"/>
    <n v="107.55"/>
    <n v="9.7899999999999991"/>
  </r>
  <r>
    <s v="ORD-10171"/>
    <d v="2024-08-13T00:00:00"/>
    <x v="0"/>
    <s v="Binders"/>
    <s v="South"/>
    <s v="Home Office"/>
    <s v="Atlanta"/>
    <n v="7"/>
    <n v="0.1"/>
    <n v="607.57000000000005"/>
    <n v="37.26"/>
  </r>
  <r>
    <s v="ORD-10248"/>
    <d v="2024-08-14T00:00:00"/>
    <x v="0"/>
    <s v="Storage"/>
    <s v="South"/>
    <s v="Corporate"/>
    <s v="New York"/>
    <n v="9"/>
    <n v="0.15"/>
    <n v="928.52"/>
    <n v="82.05"/>
  </r>
  <r>
    <s v="ORD-10130"/>
    <d v="2024-08-16T00:00:00"/>
    <x v="1"/>
    <s v="Tables"/>
    <s v="Central"/>
    <s v="Corporate"/>
    <s v="Seattle"/>
    <n v="6"/>
    <n v="0"/>
    <n v="842.66"/>
    <n v="177.5"/>
  </r>
  <r>
    <s v="ORD-10283"/>
    <d v="2024-08-16T00:00:00"/>
    <x v="1"/>
    <s v="Bookcases"/>
    <s v="South"/>
    <s v="Consumer"/>
    <s v="Los Angeles"/>
    <n v="4"/>
    <n v="0.2"/>
    <n v="503.66"/>
    <n v="64.11"/>
  </r>
  <r>
    <s v="ORD-10195"/>
    <d v="2024-08-22T00:00:00"/>
    <x v="1"/>
    <s v="Chairs"/>
    <s v="Central"/>
    <s v="Corporate"/>
    <s v="Dallas"/>
    <n v="3"/>
    <n v="0.2"/>
    <n v="481.92"/>
    <n v="73.28"/>
  </r>
  <r>
    <s v="ORD-10190"/>
    <d v="2024-08-24T00:00:00"/>
    <x v="2"/>
    <s v="Phones"/>
    <s v="Central"/>
    <s v="Home Office"/>
    <s v="New York"/>
    <n v="9"/>
    <n v="0"/>
    <n v="1982.56"/>
    <n v="357.66"/>
  </r>
  <r>
    <s v="ORD-10129"/>
    <d v="2024-08-26T00:00:00"/>
    <x v="2"/>
    <s v="Phones"/>
    <s v="Central"/>
    <s v="Consumer"/>
    <s v="Atlanta"/>
    <n v="3"/>
    <n v="0"/>
    <n v="1213.5"/>
    <n v="174.88"/>
  </r>
  <r>
    <s v="ORD-10381"/>
    <d v="2024-08-26T00:00:00"/>
    <x v="2"/>
    <s v="Accessories"/>
    <s v="East"/>
    <s v="Consumer"/>
    <s v="Boston"/>
    <n v="7"/>
    <n v="0.1"/>
    <n v="1886.84"/>
    <n v="528.30999999999995"/>
  </r>
  <r>
    <s v="ORD-10423"/>
    <d v="2024-08-30T00:00:00"/>
    <x v="2"/>
    <s v="Accessories"/>
    <s v="Central"/>
    <s v="Home Office"/>
    <s v="Atlanta"/>
    <n v="5"/>
    <n v="0.2"/>
    <n v="384.63"/>
    <n v="34.89"/>
  </r>
  <r>
    <s v="ORD-10047"/>
    <d v="2024-08-31T00:00:00"/>
    <x v="2"/>
    <s v="Phones"/>
    <s v="East"/>
    <s v="Consumer"/>
    <s v="Los Angeles"/>
    <n v="2"/>
    <n v="0.05"/>
    <n v="318.38"/>
    <n v="64.39"/>
  </r>
  <r>
    <s v="ORD-10261"/>
    <d v="2024-08-31T00:00:00"/>
    <x v="0"/>
    <s v="Storage"/>
    <s v="South"/>
    <s v="Consumer"/>
    <s v="Boston"/>
    <n v="3"/>
    <n v="0"/>
    <n v="266.33999999999997"/>
    <n v="19.309999999999999"/>
  </r>
  <r>
    <s v="ORD-10377"/>
    <d v="2024-09-01T00:00:00"/>
    <x v="0"/>
    <s v="Art"/>
    <s v="West"/>
    <s v="Corporate"/>
    <s v="Los Angeles"/>
    <n v="1"/>
    <n v="0.15"/>
    <n v="117.44"/>
    <n v="20.53"/>
  </r>
  <r>
    <s v="ORD-10323"/>
    <d v="2024-09-06T00:00:00"/>
    <x v="0"/>
    <s v="Binders"/>
    <s v="Central"/>
    <s v="Consumer"/>
    <s v="Chicago"/>
    <n v="1"/>
    <n v="0.15"/>
    <n v="81.61"/>
    <n v="7.22"/>
  </r>
  <r>
    <s v="ORD-10474"/>
    <d v="2024-09-07T00:00:00"/>
    <x v="0"/>
    <s v="Storage"/>
    <s v="East"/>
    <s v="Home Office"/>
    <s v="New York"/>
    <n v="3"/>
    <n v="0.05"/>
    <n v="126.81"/>
    <n v="16.059999999999999"/>
  </r>
  <r>
    <s v="ORD-10368"/>
    <d v="2024-09-07T00:00:00"/>
    <x v="0"/>
    <s v="Storage"/>
    <s v="Central"/>
    <s v="Corporate"/>
    <s v="Houston"/>
    <n v="1"/>
    <n v="0.2"/>
    <n v="87.76"/>
    <n v="2.04"/>
  </r>
  <r>
    <s v="ORD-10170"/>
    <d v="2024-09-12T00:00:00"/>
    <x v="1"/>
    <s v="Tables"/>
    <s v="Central"/>
    <s v="Home Office"/>
    <s v="Atlanta"/>
    <n v="9"/>
    <n v="0.2"/>
    <n v="1766.02"/>
    <n v="261.39999999999998"/>
  </r>
  <r>
    <s v="ORD-10431"/>
    <d v="2024-09-15T00:00:00"/>
    <x v="2"/>
    <s v="Computers"/>
    <s v="South"/>
    <s v="Corporate"/>
    <s v="Houston"/>
    <n v="7"/>
    <n v="0.3"/>
    <n v="1327.72"/>
    <n v="52.21"/>
  </r>
  <r>
    <s v="ORD-10169"/>
    <d v="2024-09-17T00:00:00"/>
    <x v="2"/>
    <s v="Phones"/>
    <s v="East"/>
    <s v="Consumer"/>
    <s v="Dallas"/>
    <n v="3"/>
    <n v="0.1"/>
    <n v="963.11"/>
    <n v="140.75"/>
  </r>
  <r>
    <s v="ORD-10468"/>
    <d v="2024-09-17T00:00:00"/>
    <x v="0"/>
    <s v="Paper"/>
    <s v="East"/>
    <s v="Corporate"/>
    <s v="Chicago"/>
    <n v="3"/>
    <n v="0.2"/>
    <n v="215.85"/>
    <n v="28.23"/>
  </r>
  <r>
    <s v="ORD-10495"/>
    <d v="2024-09-18T00:00:00"/>
    <x v="1"/>
    <s v="Bookcases"/>
    <s v="West"/>
    <s v="Home Office"/>
    <s v="Chicago"/>
    <n v="3"/>
    <n v="0.2"/>
    <n v="340.79"/>
    <n v="28.66"/>
  </r>
  <r>
    <s v="ORD-10112"/>
    <d v="2024-09-20T00:00:00"/>
    <x v="2"/>
    <s v="Accessories"/>
    <s v="Central"/>
    <s v="Consumer"/>
    <s v="Chicago"/>
    <n v="4"/>
    <n v="0.15"/>
    <n v="570.54999999999995"/>
    <n v="75.69"/>
  </r>
  <r>
    <s v="ORD-10135"/>
    <d v="2024-09-20T00:00:00"/>
    <x v="0"/>
    <s v="Paper"/>
    <s v="South"/>
    <s v="Home Office"/>
    <s v="New York"/>
    <n v="2"/>
    <n v="0.2"/>
    <n v="87.46"/>
    <n v="3.57"/>
  </r>
  <r>
    <s v="ORD-10383"/>
    <d v="2024-09-22T00:00:00"/>
    <x v="0"/>
    <s v="Paper"/>
    <s v="Central"/>
    <s v="Consumer"/>
    <s v="Dallas"/>
    <n v="5"/>
    <n v="0"/>
    <n v="617.16"/>
    <n v="26.78"/>
  </r>
  <r>
    <s v="ORD-10455"/>
    <d v="2024-09-23T00:00:00"/>
    <x v="2"/>
    <s v="Phones"/>
    <s v="South"/>
    <s v="Consumer"/>
    <s v="New York"/>
    <n v="7"/>
    <n v="0.3"/>
    <n v="1714.14"/>
    <n v="4.16"/>
  </r>
  <r>
    <s v="ORD-10225"/>
    <d v="2024-09-24T00:00:00"/>
    <x v="2"/>
    <s v="Computers"/>
    <s v="East"/>
    <s v="Corporate"/>
    <s v="Boston"/>
    <n v="8"/>
    <n v="0.1"/>
    <n v="1628.97"/>
    <n v="291.93"/>
  </r>
  <r>
    <s v="ORD-10312"/>
    <d v="2024-09-24T00:00:00"/>
    <x v="2"/>
    <s v="Computers"/>
    <s v="East"/>
    <s v="Consumer"/>
    <s v="Los Angeles"/>
    <n v="5"/>
    <n v="0.15"/>
    <n v="389.87"/>
    <n v="33.159999999999997"/>
  </r>
  <r>
    <s v="ORD-10379"/>
    <d v="2024-09-28T00:00:00"/>
    <x v="0"/>
    <s v="Paper"/>
    <s v="Central"/>
    <s v="Home Office"/>
    <s v="Boston"/>
    <n v="4"/>
    <n v="0.3"/>
    <n v="211"/>
    <n v="25.18"/>
  </r>
  <r>
    <s v="ORD-10340"/>
    <d v="2024-09-29T00:00:00"/>
    <x v="2"/>
    <s v="Computers"/>
    <s v="West"/>
    <s v="Home Office"/>
    <s v="Seattle"/>
    <n v="9"/>
    <n v="0.2"/>
    <n v="1550.96"/>
    <n v="385.39"/>
  </r>
  <r>
    <s v="ORD-10370"/>
    <d v="2024-09-30T00:00:00"/>
    <x v="2"/>
    <s v="Accessories"/>
    <s v="East"/>
    <s v="Corporate"/>
    <s v="Seattle"/>
    <n v="8"/>
    <n v="0.1"/>
    <n v="1386.99"/>
    <n v="110.46"/>
  </r>
  <r>
    <s v="ORD-10290"/>
    <d v="2024-10-01T00:00:00"/>
    <x v="1"/>
    <s v="Chairs"/>
    <s v="West"/>
    <s v="Consumer"/>
    <s v="Seattle"/>
    <n v="9"/>
    <n v="0.2"/>
    <n v="1275.6099999999999"/>
    <n v="50.36"/>
  </r>
  <r>
    <s v="ORD-10194"/>
    <d v="2024-10-04T00:00:00"/>
    <x v="0"/>
    <s v="Storage"/>
    <s v="Central"/>
    <s v="Home Office"/>
    <s v="Boston"/>
    <n v="6"/>
    <n v="0"/>
    <n v="708.92"/>
    <n v="71.89"/>
  </r>
  <r>
    <s v="ORD-10176"/>
    <d v="2024-10-06T00:00:00"/>
    <x v="2"/>
    <s v="Phones"/>
    <s v="West"/>
    <s v="Corporate"/>
    <s v="Atlanta"/>
    <n v="2"/>
    <n v="0.15"/>
    <n v="224.25"/>
    <n v="22.06"/>
  </r>
  <r>
    <s v="ORD-10191"/>
    <d v="2024-10-07T00:00:00"/>
    <x v="2"/>
    <s v="Computers"/>
    <s v="West"/>
    <s v="Consumer"/>
    <s v="New York"/>
    <n v="4"/>
    <n v="0.2"/>
    <n v="633.01"/>
    <n v="54.11"/>
  </r>
  <r>
    <s v="ORD-10157"/>
    <d v="2024-10-11T00:00:00"/>
    <x v="0"/>
    <s v="Binders"/>
    <s v="West"/>
    <s v="Consumer"/>
    <s v="Chicago"/>
    <n v="2"/>
    <n v="0.05"/>
    <n v="107.77"/>
    <n v="11.66"/>
  </r>
  <r>
    <s v="ORD-10067"/>
    <d v="2024-10-11T00:00:00"/>
    <x v="2"/>
    <s v="Computers"/>
    <s v="Central"/>
    <s v="Corporate"/>
    <s v="Seattle"/>
    <n v="5"/>
    <n v="0"/>
    <n v="2251.79"/>
    <n v="-103.38"/>
  </r>
  <r>
    <s v="ORD-10093"/>
    <d v="2024-10-11T00:00:00"/>
    <x v="0"/>
    <s v="Paper"/>
    <s v="Central"/>
    <s v="Corporate"/>
    <s v="New York"/>
    <n v="5"/>
    <n v="0.15"/>
    <n v="371.49"/>
    <n v="60.78"/>
  </r>
  <r>
    <s v="ORD-10097"/>
    <d v="2024-10-12T00:00:00"/>
    <x v="1"/>
    <s v="Tables"/>
    <s v="South"/>
    <s v="Corporate"/>
    <s v="Atlanta"/>
    <n v="2"/>
    <n v="0.15"/>
    <n v="279.67"/>
    <n v="49.41"/>
  </r>
  <r>
    <s v="ORD-10220"/>
    <d v="2024-10-13T00:00:00"/>
    <x v="0"/>
    <s v="Art"/>
    <s v="South"/>
    <s v="Home Office"/>
    <s v="Dallas"/>
    <n v="1"/>
    <n v="0.1"/>
    <n v="103.95"/>
    <n v="21.22"/>
  </r>
  <r>
    <s v="ORD-10140"/>
    <d v="2024-10-14T00:00:00"/>
    <x v="0"/>
    <s v="Art"/>
    <s v="South"/>
    <s v="Consumer"/>
    <s v="Atlanta"/>
    <n v="8"/>
    <n v="0"/>
    <n v="1035.04"/>
    <n v="306.61"/>
  </r>
  <r>
    <s v="ORD-10318"/>
    <d v="2024-10-14T00:00:00"/>
    <x v="2"/>
    <s v="Phones"/>
    <s v="South"/>
    <s v="Consumer"/>
    <s v="Seattle"/>
    <n v="5"/>
    <n v="0.15"/>
    <n v="988.69"/>
    <n v="192.08"/>
  </r>
  <r>
    <s v="ORD-10494"/>
    <d v="2024-10-15T00:00:00"/>
    <x v="2"/>
    <s v="Phones"/>
    <s v="South"/>
    <s v="Home Office"/>
    <s v="Los Angeles"/>
    <n v="4"/>
    <n v="0.05"/>
    <n v="782.61"/>
    <n v="96.42"/>
  </r>
  <r>
    <s v="ORD-10257"/>
    <d v="2024-10-15T00:00:00"/>
    <x v="0"/>
    <s v="Binders"/>
    <s v="East"/>
    <s v="Consumer"/>
    <s v="Boston"/>
    <n v="6"/>
    <n v="0.15"/>
    <n v="266.88"/>
    <n v="25.66"/>
  </r>
  <r>
    <s v="ORD-10238"/>
    <d v="2024-10-18T00:00:00"/>
    <x v="2"/>
    <s v="Computers"/>
    <s v="West"/>
    <s v="Consumer"/>
    <s v="Boston"/>
    <n v="6"/>
    <n v="0.1"/>
    <n v="1838.15"/>
    <n v="112.42"/>
  </r>
  <r>
    <s v="ORD-10396"/>
    <d v="2024-10-19T00:00:00"/>
    <x v="0"/>
    <s v="Art"/>
    <s v="East"/>
    <s v="Home Office"/>
    <s v="Houston"/>
    <n v="7"/>
    <n v="0.2"/>
    <n v="653.14"/>
    <n v="107.24"/>
  </r>
  <r>
    <s v="ORD-10272"/>
    <d v="2024-10-22T00:00:00"/>
    <x v="0"/>
    <s v="Art"/>
    <s v="West"/>
    <s v="Consumer"/>
    <s v="Boston"/>
    <n v="3"/>
    <n v="0"/>
    <n v="370.71"/>
    <n v="99.23"/>
  </r>
  <r>
    <s v="ORD-10024"/>
    <d v="2024-10-22T00:00:00"/>
    <x v="1"/>
    <s v="Tables"/>
    <s v="Central"/>
    <s v="Corporate"/>
    <s v="Seattle"/>
    <n v="4"/>
    <n v="0.1"/>
    <n v="412.54"/>
    <n v="101.09"/>
  </r>
  <r>
    <s v="ORD-10242"/>
    <d v="2024-10-22T00:00:00"/>
    <x v="0"/>
    <s v="Storage"/>
    <s v="West"/>
    <s v="Consumer"/>
    <s v="Chicago"/>
    <n v="5"/>
    <n v="0.1"/>
    <n v="461.17"/>
    <n v="73.150000000000006"/>
  </r>
  <r>
    <s v="ORD-10025"/>
    <d v="2024-10-23T00:00:00"/>
    <x v="1"/>
    <s v="Bookcases"/>
    <s v="Central"/>
    <s v="Consumer"/>
    <s v="Seattle"/>
    <n v="5"/>
    <n v="0.1"/>
    <n v="1234.5"/>
    <n v="146.80000000000001"/>
  </r>
  <r>
    <s v="ORD-10484"/>
    <d v="2024-10-27T00:00:00"/>
    <x v="0"/>
    <s v="Paper"/>
    <s v="Central"/>
    <s v="Home Office"/>
    <s v="Boston"/>
    <n v="7"/>
    <n v="0"/>
    <n v="608.80999999999995"/>
    <n v="186.97"/>
  </r>
  <r>
    <s v="ORD-10410"/>
    <d v="2024-10-28T00:00:00"/>
    <x v="2"/>
    <s v="Phones"/>
    <s v="West"/>
    <s v="Consumer"/>
    <s v="Los Angeles"/>
    <n v="8"/>
    <n v="0.3"/>
    <n v="1241.94"/>
    <n v="75.290000000000006"/>
  </r>
  <r>
    <s v="ORD-10003"/>
    <d v="2024-10-28T00:00:00"/>
    <x v="0"/>
    <s v="Binders"/>
    <s v="Central"/>
    <s v="Consumer"/>
    <s v="Seattle"/>
    <n v="1"/>
    <n v="0.2"/>
    <n v="50.96"/>
    <n v="1.24"/>
  </r>
  <r>
    <s v="ORD-10094"/>
    <d v="2024-10-31T00:00:00"/>
    <x v="1"/>
    <s v="Chairs"/>
    <s v="West"/>
    <s v="Consumer"/>
    <s v="New York"/>
    <n v="2"/>
    <n v="0.2"/>
    <n v="383.57"/>
    <n v="40.090000000000003"/>
  </r>
  <r>
    <s v="ORD-10039"/>
    <d v="2024-11-04T00:00:00"/>
    <x v="0"/>
    <s v="Binders"/>
    <s v="East"/>
    <s v="Consumer"/>
    <s v="Dallas"/>
    <n v="2"/>
    <n v="0.05"/>
    <n v="149.41"/>
    <n v="23.9"/>
  </r>
  <r>
    <s v="ORD-10249"/>
    <d v="2024-11-05T00:00:00"/>
    <x v="0"/>
    <s v="Binders"/>
    <s v="West"/>
    <s v="Consumer"/>
    <s v="Houston"/>
    <n v="3"/>
    <n v="0"/>
    <n v="30"/>
    <n v="1.7"/>
  </r>
  <r>
    <s v="ORD-10422"/>
    <d v="2024-11-05T00:00:00"/>
    <x v="0"/>
    <s v="Storage"/>
    <s v="Central"/>
    <s v="Consumer"/>
    <s v="Boston"/>
    <n v="2"/>
    <n v="0.1"/>
    <n v="134.4"/>
    <n v="6.55"/>
  </r>
  <r>
    <s v="ORD-10364"/>
    <d v="2024-11-06T00:00:00"/>
    <x v="1"/>
    <s v="Chairs"/>
    <s v="South"/>
    <s v="Consumer"/>
    <s v="Atlanta"/>
    <n v="8"/>
    <n v="0.1"/>
    <n v="1133.6400000000001"/>
    <n v="176.39"/>
  </r>
  <r>
    <s v="ORD-10256"/>
    <d v="2024-11-07T00:00:00"/>
    <x v="1"/>
    <s v="Chairs"/>
    <s v="East"/>
    <s v="Corporate"/>
    <s v="Seattle"/>
    <n v="8"/>
    <n v="0.2"/>
    <n v="410.71"/>
    <n v="15.29"/>
  </r>
  <r>
    <s v="ORD-10043"/>
    <d v="2024-11-08T00:00:00"/>
    <x v="2"/>
    <s v="Phones"/>
    <s v="South"/>
    <s v="Corporate"/>
    <s v="Seattle"/>
    <n v="2"/>
    <n v="0.15"/>
    <n v="362.86"/>
    <n v="83.04"/>
  </r>
  <r>
    <s v="ORD-10125"/>
    <d v="2024-11-08T00:00:00"/>
    <x v="2"/>
    <s v="Accessories"/>
    <s v="East"/>
    <s v="Home Office"/>
    <s v="Houston"/>
    <n v="3"/>
    <n v="0.3"/>
    <n v="374.8"/>
    <n v="28.97"/>
  </r>
  <r>
    <s v="ORD-10479"/>
    <d v="2024-11-11T00:00:00"/>
    <x v="0"/>
    <s v="Art"/>
    <s v="South"/>
    <s v="Corporate"/>
    <s v="Chicago"/>
    <n v="9"/>
    <n v="0.15"/>
    <n v="865.65"/>
    <n v="154.08000000000001"/>
  </r>
  <r>
    <s v="ORD-10298"/>
    <d v="2024-11-13T00:00:00"/>
    <x v="2"/>
    <s v="Computers"/>
    <s v="South"/>
    <s v="Consumer"/>
    <s v="Dallas"/>
    <n v="9"/>
    <n v="0.2"/>
    <n v="2344.2399999999998"/>
    <n v="161.61000000000001"/>
  </r>
  <r>
    <s v="ORD-10486"/>
    <d v="2024-11-13T00:00:00"/>
    <x v="0"/>
    <s v="Storage"/>
    <s v="West"/>
    <s v="Home Office"/>
    <s v="Seattle"/>
    <n v="8"/>
    <n v="0"/>
    <n v="809.33"/>
    <n v="77.09"/>
  </r>
  <r>
    <s v="ORD-10090"/>
    <d v="2024-11-13T00:00:00"/>
    <x v="1"/>
    <s v="Tables"/>
    <s v="West"/>
    <s v="Consumer"/>
    <s v="New York"/>
    <n v="2"/>
    <n v="0.15"/>
    <n v="168.9"/>
    <n v="21.53"/>
  </r>
  <r>
    <s v="ORD-10376"/>
    <d v="2024-11-13T00:00:00"/>
    <x v="2"/>
    <s v="Computers"/>
    <s v="South"/>
    <s v="Consumer"/>
    <s v="Chicago"/>
    <n v="1"/>
    <n v="0.2"/>
    <n v="260.23"/>
    <n v="-2.02"/>
  </r>
  <r>
    <s v="ORD-10409"/>
    <d v="2024-11-14T00:00:00"/>
    <x v="0"/>
    <s v="Paper"/>
    <s v="South"/>
    <s v="Corporate"/>
    <s v="Atlanta"/>
    <n v="5"/>
    <n v="0.15"/>
    <n v="178.42"/>
    <n v="7.26"/>
  </r>
  <r>
    <s v="ORD-10457"/>
    <d v="2024-11-18T00:00:00"/>
    <x v="2"/>
    <s v="Phones"/>
    <s v="Central"/>
    <s v="Consumer"/>
    <s v="Boston"/>
    <n v="5"/>
    <n v="0.15"/>
    <n v="1323.5"/>
    <n v="-26.53"/>
  </r>
  <r>
    <s v="ORD-10490"/>
    <d v="2024-11-18T00:00:00"/>
    <x v="0"/>
    <s v="Art"/>
    <s v="South"/>
    <s v="Consumer"/>
    <s v="Seattle"/>
    <n v="5"/>
    <n v="0.2"/>
    <n v="199.28"/>
    <n v="16.8"/>
  </r>
  <r>
    <s v="ORD-10015"/>
    <d v="2024-11-19T00:00:00"/>
    <x v="2"/>
    <s v="Computers"/>
    <s v="West"/>
    <s v="Corporate"/>
    <s v="Atlanta"/>
    <n v="9"/>
    <n v="0.2"/>
    <n v="1440.48"/>
    <n v="271.62"/>
  </r>
  <r>
    <s v="ORD-10394"/>
    <d v="2024-11-19T00:00:00"/>
    <x v="0"/>
    <s v="Binders"/>
    <s v="South"/>
    <s v="Corporate"/>
    <s v="Dallas"/>
    <n v="5"/>
    <n v="0"/>
    <n v="469.53"/>
    <n v="60.55"/>
  </r>
  <r>
    <s v="ORD-10085"/>
    <d v="2024-11-22T00:00:00"/>
    <x v="2"/>
    <s v="Accessories"/>
    <s v="West"/>
    <s v="Consumer"/>
    <s v="Los Angeles"/>
    <n v="1"/>
    <n v="0.05"/>
    <n v="204.89"/>
    <n v="26.78"/>
  </r>
  <r>
    <s v="ORD-10473"/>
    <d v="2024-11-23T00:00:00"/>
    <x v="2"/>
    <s v="Accessories"/>
    <s v="East"/>
    <s v="Consumer"/>
    <s v="Seattle"/>
    <n v="2"/>
    <n v="0.1"/>
    <n v="421.78"/>
    <n v="50.8"/>
  </r>
  <r>
    <s v="ORD-10127"/>
    <d v="2024-11-23T00:00:00"/>
    <x v="0"/>
    <s v="Paper"/>
    <s v="East"/>
    <s v="Consumer"/>
    <s v="Dallas"/>
    <n v="1"/>
    <n v="0.3"/>
    <n v="32.76"/>
    <n v="2.33"/>
  </r>
  <r>
    <s v="ORD-10451"/>
    <d v="2024-11-24T00:00:00"/>
    <x v="0"/>
    <s v="Storage"/>
    <s v="East"/>
    <s v="Consumer"/>
    <s v="New York"/>
    <n v="1"/>
    <n v="0"/>
    <n v="122.47"/>
    <n v="27.06"/>
  </r>
  <r>
    <s v="ORD-10294"/>
    <d v="2024-11-25T00:00:00"/>
    <x v="1"/>
    <s v="Tables"/>
    <s v="Central"/>
    <s v="Corporate"/>
    <s v="Seattle"/>
    <n v="9"/>
    <n v="0.1"/>
    <n v="2023.81"/>
    <n v="149.5"/>
  </r>
  <r>
    <s v="ORD-10149"/>
    <d v="2024-11-25T00:00:00"/>
    <x v="2"/>
    <s v="Computers"/>
    <s v="South"/>
    <s v="Corporate"/>
    <s v="Houston"/>
    <n v="8"/>
    <n v="0.1"/>
    <n v="1482.84"/>
    <n v="118.9"/>
  </r>
  <r>
    <s v="ORD-10426"/>
    <d v="2024-11-25T00:00:00"/>
    <x v="1"/>
    <s v="Chairs"/>
    <s v="East"/>
    <s v="Corporate"/>
    <s v="Boston"/>
    <n v="4"/>
    <n v="0.1"/>
    <n v="632.6"/>
    <n v="80.94"/>
  </r>
  <r>
    <s v="ORD-10462"/>
    <d v="2024-11-27T00:00:00"/>
    <x v="0"/>
    <s v="Art"/>
    <s v="South"/>
    <s v="Consumer"/>
    <s v="Chicago"/>
    <n v="9"/>
    <n v="0.1"/>
    <n v="888.12"/>
    <n v="198.32"/>
  </r>
  <r>
    <s v="ORD-10325"/>
    <d v="2024-11-30T00:00:00"/>
    <x v="0"/>
    <s v="Storage"/>
    <s v="Central"/>
    <s v="Corporate"/>
    <s v="Atlanta"/>
    <n v="8"/>
    <n v="0.15"/>
    <n v="573.44000000000005"/>
    <n v="47.41"/>
  </r>
  <r>
    <s v="ORD-10498"/>
    <d v="2024-12-01T00:00:00"/>
    <x v="2"/>
    <s v="Computers"/>
    <s v="East"/>
    <s v="Consumer"/>
    <s v="Chicago"/>
    <n v="1"/>
    <n v="0.1"/>
    <n v="351.6"/>
    <n v="43.63"/>
  </r>
  <r>
    <s v="ORD-10301"/>
    <d v="2024-12-04T00:00:00"/>
    <x v="2"/>
    <s v="Accessories"/>
    <s v="Central"/>
    <s v="Corporate"/>
    <s v="Dallas"/>
    <n v="8"/>
    <n v="0.1"/>
    <n v="2257.38"/>
    <n v="193.92"/>
  </r>
  <r>
    <s v="ORD-10385"/>
    <d v="2024-12-05T00:00:00"/>
    <x v="0"/>
    <s v="Storage"/>
    <s v="East"/>
    <s v="Corporate"/>
    <s v="Los Angeles"/>
    <n v="6"/>
    <n v="0.1"/>
    <n v="762.83"/>
    <n v="54.53"/>
  </r>
  <r>
    <s v="ORD-10079"/>
    <d v="2024-12-07T00:00:00"/>
    <x v="1"/>
    <s v="Chairs"/>
    <s v="West"/>
    <s v="Corporate"/>
    <s v="Seattle"/>
    <n v="1"/>
    <n v="0.3"/>
    <n v="91.51"/>
    <n v="23.18"/>
  </r>
  <r>
    <s v="ORD-10218"/>
    <d v="2024-12-07T00:00:00"/>
    <x v="0"/>
    <s v="Paper"/>
    <s v="South"/>
    <s v="Consumer"/>
    <s v="Atlanta"/>
    <n v="5"/>
    <n v="0.2"/>
    <n v="427.27"/>
    <n v="30.83"/>
  </r>
  <r>
    <s v="ORD-10402"/>
    <d v="2024-12-09T00:00:00"/>
    <x v="0"/>
    <s v="Storage"/>
    <s v="South"/>
    <s v="Corporate"/>
    <s v="Atlanta"/>
    <n v="8"/>
    <n v="0.3"/>
    <n v="407.33"/>
    <n v="33.5"/>
  </r>
  <r>
    <s v="ORD-10411"/>
    <d v="2024-12-09T00:00:00"/>
    <x v="2"/>
    <s v="Computers"/>
    <s v="East"/>
    <s v="Home Office"/>
    <s v="Boston"/>
    <n v="9"/>
    <n v="0.15"/>
    <n v="3068.26"/>
    <n v="316.33999999999997"/>
  </r>
  <r>
    <s v="ORD-10030"/>
    <d v="2024-12-11T00:00:00"/>
    <x v="2"/>
    <s v="Computers"/>
    <s v="East"/>
    <s v="Consumer"/>
    <s v="Los Angeles"/>
    <n v="7"/>
    <n v="0.15"/>
    <n v="2685.14"/>
    <n v="266.95"/>
  </r>
  <r>
    <s v="ORD-10002"/>
    <d v="2024-12-11T00:00:00"/>
    <x v="0"/>
    <s v="Storage"/>
    <s v="Central"/>
    <s v="Consumer"/>
    <s v="Houston"/>
    <n v="4"/>
    <n v="0.1"/>
    <n v="202.9"/>
    <n v="30.71"/>
  </r>
  <r>
    <s v="ORD-10055"/>
    <d v="2024-12-12T00:00:00"/>
    <x v="1"/>
    <s v="Chairs"/>
    <s v="South"/>
    <s v="Corporate"/>
    <s v="Atlanta"/>
    <n v="5"/>
    <n v="0.05"/>
    <n v="1241.45"/>
    <n v="220"/>
  </r>
  <r>
    <s v="ORD-10123"/>
    <d v="2024-12-14T00:00:00"/>
    <x v="2"/>
    <s v="Accessories"/>
    <s v="East"/>
    <s v="Consumer"/>
    <s v="Seattle"/>
    <n v="9"/>
    <n v="0.1"/>
    <n v="2592.8200000000002"/>
    <n v="720.79"/>
  </r>
  <r>
    <s v="ORD-10487"/>
    <d v="2024-12-14T00:00:00"/>
    <x v="2"/>
    <s v="Accessories"/>
    <s v="Central"/>
    <s v="Home Office"/>
    <s v="Boston"/>
    <n v="5"/>
    <n v="0.15"/>
    <n v="1139.3499999999999"/>
    <n v="49.36"/>
  </r>
  <r>
    <s v="ORD-10355"/>
    <d v="2024-12-14T00:00:00"/>
    <x v="2"/>
    <s v="Phones"/>
    <s v="South"/>
    <s v="Home Office"/>
    <s v="Seattle"/>
    <n v="8"/>
    <n v="0.15"/>
    <n v="1223.42"/>
    <n v="63.85"/>
  </r>
  <r>
    <s v="ORD-10208"/>
    <d v="2024-12-21T00:00:00"/>
    <x v="0"/>
    <s v="Paper"/>
    <s v="West"/>
    <s v="Consumer"/>
    <s v="Dallas"/>
    <n v="3"/>
    <n v="0.05"/>
    <n v="357.77"/>
    <n v="53.59"/>
  </r>
  <r>
    <s v="ORD-10014"/>
    <d v="2024-12-21T00:00:00"/>
    <x v="2"/>
    <s v="Phones"/>
    <s v="Central"/>
    <s v="Home Office"/>
    <s v="Boston"/>
    <n v="8"/>
    <n v="0.05"/>
    <n v="2057.16"/>
    <n v="286.86"/>
  </r>
  <r>
    <s v="ORD-10453"/>
    <d v="2024-12-22T00:00:00"/>
    <x v="1"/>
    <s v="Tables"/>
    <s v="West"/>
    <s v="Consumer"/>
    <s v="Boston"/>
    <n v="3"/>
    <n v="0.15"/>
    <n v="54.62"/>
    <n v="4.3"/>
  </r>
  <r>
    <s v="ORD-10192"/>
    <d v="2024-12-24T00:00:00"/>
    <x v="0"/>
    <s v="Paper"/>
    <s v="West"/>
    <s v="Consumer"/>
    <s v="Los Angeles"/>
    <n v="6"/>
    <n v="0.15"/>
    <n v="561.41"/>
    <n v="1.86"/>
  </r>
  <r>
    <s v="ORD-10384"/>
    <d v="2024-12-24T00:00:00"/>
    <x v="0"/>
    <s v="Art"/>
    <s v="Central"/>
    <s v="Consumer"/>
    <s v="Seattle"/>
    <n v="1"/>
    <n v="0.15"/>
    <n v="16.440000000000001"/>
    <n v="2.12"/>
  </r>
  <r>
    <s v="ORD-10083"/>
    <d v="2024-12-25T00:00:00"/>
    <x v="1"/>
    <s v="Tables"/>
    <s v="East"/>
    <s v="Corporate"/>
    <s v="Los Angeles"/>
    <n v="7"/>
    <n v="0.15"/>
    <n v="566.65"/>
    <n v="122.08"/>
  </r>
  <r>
    <s v="ORD-10075"/>
    <d v="2024-12-26T00:00:00"/>
    <x v="0"/>
    <s v="Storage"/>
    <s v="South"/>
    <s v="Home Office"/>
    <s v="Los Angeles"/>
    <n v="7"/>
    <n v="0"/>
    <n v="766.61"/>
    <n v="103.96"/>
  </r>
  <r>
    <s v="ORD-10235"/>
    <d v="2024-12-28T00:00:00"/>
    <x v="2"/>
    <s v="Accessories"/>
    <s v="West"/>
    <s v="Home Office"/>
    <s v="Houston"/>
    <n v="3"/>
    <n v="0.15"/>
    <n v="472.71"/>
    <n v="51.95"/>
  </r>
  <r>
    <s v="ORD-10004"/>
    <d v="2024-12-28T00:00:00"/>
    <x v="1"/>
    <s v="Chairs"/>
    <s v="South"/>
    <s v="Corporate"/>
    <s v="Houston"/>
    <n v="5"/>
    <n v="0.1"/>
    <n v="643.29"/>
    <n v="-19.21"/>
  </r>
  <r>
    <s v="ORD-10175"/>
    <d v="2024-12-29T00:00:00"/>
    <x v="0"/>
    <s v="Binders"/>
    <s v="South"/>
    <s v="Corporate"/>
    <s v="Atlanta"/>
    <n v="5"/>
    <n v="0.1"/>
    <n v="418"/>
    <n v="89.26"/>
  </r>
  <r>
    <s v="ORD-10350"/>
    <d v="2024-12-29T00:00:00"/>
    <x v="0"/>
    <s v="Storage"/>
    <s v="Central"/>
    <s v="Home Office"/>
    <s v="New York"/>
    <n v="8"/>
    <n v="0.2"/>
    <n v="116.08"/>
    <n v="2.14"/>
  </r>
  <r>
    <s v="ORD-10264"/>
    <d v="2024-12-30T00:00:00"/>
    <x v="1"/>
    <s v="Tables"/>
    <s v="West"/>
    <s v="Consumer"/>
    <s v="Houston"/>
    <n v="1"/>
    <n v="0"/>
    <n v="193.2"/>
    <n v="54.65"/>
  </r>
  <r>
    <s v="ORD-10425"/>
    <d v="2024-12-31T00:00:00"/>
    <x v="2"/>
    <s v="Phones"/>
    <s v="West"/>
    <s v="Home Office"/>
    <s v="Houston"/>
    <n v="8"/>
    <n v="0.05"/>
    <n v="2014.5"/>
    <n v="267.55"/>
  </r>
  <r>
    <s v="ORD-10036"/>
    <d v="2025-01-05T00:00:00"/>
    <x v="0"/>
    <s v="Binders"/>
    <s v="West"/>
    <s v="Home Office"/>
    <s v="Dallas"/>
    <n v="4"/>
    <n v="0.1"/>
    <n v="319.43"/>
    <n v="4.58"/>
  </r>
  <r>
    <s v="ORD-10103"/>
    <d v="2025-01-05T00:00:00"/>
    <x v="2"/>
    <s v="Accessories"/>
    <s v="Central"/>
    <s v="Consumer"/>
    <s v="Atlanta"/>
    <n v="8"/>
    <n v="0"/>
    <n v="1608.7"/>
    <n v="445.48"/>
  </r>
  <r>
    <s v="ORD-10239"/>
    <d v="2025-01-05T00:00:00"/>
    <x v="0"/>
    <s v="Paper"/>
    <s v="West"/>
    <s v="Corporate"/>
    <s v="New York"/>
    <n v="5"/>
    <n v="0.15"/>
    <n v="512.26"/>
    <n v="66.260000000000005"/>
  </r>
  <r>
    <s v="ORD-10335"/>
    <d v="2025-01-06T00:00:00"/>
    <x v="2"/>
    <s v="Phones"/>
    <s v="Central"/>
    <s v="Corporate"/>
    <s v="Chicago"/>
    <n v="8"/>
    <n v="0.1"/>
    <n v="2774.04"/>
    <n v="535.91"/>
  </r>
  <r>
    <s v="ORD-10306"/>
    <d v="2025-01-08T00:00:00"/>
    <x v="0"/>
    <s v="Storage"/>
    <s v="East"/>
    <s v="Home Office"/>
    <s v="Dallas"/>
    <n v="8"/>
    <n v="0.05"/>
    <n v="782.66"/>
    <n v="88.23"/>
  </r>
  <r>
    <s v="ORD-10392"/>
    <d v="2025-01-10T00:00:00"/>
    <x v="1"/>
    <s v="Bookcases"/>
    <s v="West"/>
    <s v="Corporate"/>
    <s v="Houston"/>
    <n v="1"/>
    <n v="0"/>
    <n v="161.49"/>
    <n v="22.69"/>
  </r>
  <r>
    <s v="ORD-10382"/>
    <d v="2025-01-11T00:00:00"/>
    <x v="0"/>
    <s v="Binders"/>
    <s v="West"/>
    <s v="Corporate"/>
    <s v="Atlanta"/>
    <n v="5"/>
    <n v="0.15"/>
    <n v="332.77"/>
    <n v="31.62"/>
  </r>
  <r>
    <s v="ORD-10020"/>
    <d v="2025-01-12T00:00:00"/>
    <x v="2"/>
    <s v="Phones"/>
    <s v="East"/>
    <s v="Corporate"/>
    <s v="Houston"/>
    <n v="9"/>
    <n v="0.1"/>
    <n v="1695.98"/>
    <n v="291.44"/>
  </r>
  <r>
    <s v="ORD-10214"/>
    <d v="2025-01-12T00:00:00"/>
    <x v="2"/>
    <s v="Accessories"/>
    <s v="South"/>
    <s v="Home Office"/>
    <s v="Chicago"/>
    <n v="9"/>
    <n v="0.1"/>
    <n v="1912.58"/>
    <n v="141.07"/>
  </r>
  <r>
    <s v="ORD-10406"/>
    <d v="2025-01-14T00:00:00"/>
    <x v="0"/>
    <s v="Paper"/>
    <s v="Central"/>
    <s v="Consumer"/>
    <s v="Houston"/>
    <n v="5"/>
    <n v="0.05"/>
    <n v="527.79"/>
    <n v="79.87"/>
  </r>
  <r>
    <s v="ORD-10117"/>
    <d v="2025-01-14T00:00:00"/>
    <x v="0"/>
    <s v="Paper"/>
    <s v="West"/>
    <s v="Corporate"/>
    <s v="New York"/>
    <n v="6"/>
    <n v="0.1"/>
    <n v="446.55"/>
    <n v="40.520000000000003"/>
  </r>
  <r>
    <s v="ORD-10155"/>
    <d v="2025-01-15T00:00:00"/>
    <x v="0"/>
    <s v="Storage"/>
    <s v="Central"/>
    <s v="Corporate"/>
    <s v="Chicago"/>
    <n v="3"/>
    <n v="0"/>
    <n v="303.66000000000003"/>
    <n v="32.450000000000003"/>
  </r>
  <r>
    <s v="ORD-10163"/>
    <d v="2025-01-20T00:00:00"/>
    <x v="0"/>
    <s v="Paper"/>
    <s v="East"/>
    <s v="Consumer"/>
    <s v="Boston"/>
    <n v="8"/>
    <n v="0.2"/>
    <n v="574.78"/>
    <n v="28.86"/>
  </r>
  <r>
    <s v="ORD-10051"/>
    <d v="2025-01-20T00:00:00"/>
    <x v="0"/>
    <s v="Binders"/>
    <s v="Central"/>
    <s v="Home Office"/>
    <s v="Seattle"/>
    <n v="7"/>
    <n v="0.1"/>
    <n v="378.87"/>
    <n v="53.58"/>
  </r>
  <r>
    <s v="ORD-10386"/>
    <d v="2025-01-23T00:00:00"/>
    <x v="0"/>
    <s v="Storage"/>
    <s v="Central"/>
    <s v="Home Office"/>
    <s v="Boston"/>
    <n v="9"/>
    <n v="0.1"/>
    <n v="768.66"/>
    <n v="37.200000000000003"/>
  </r>
  <r>
    <s v="ORD-10122"/>
    <d v="2025-01-25T00:00:00"/>
    <x v="0"/>
    <s v="Paper"/>
    <s v="West"/>
    <s v="Corporate"/>
    <s v="Chicago"/>
    <n v="2"/>
    <n v="0.15"/>
    <n v="141.68"/>
    <n v="32.869999999999997"/>
  </r>
  <r>
    <s v="ORD-10324"/>
    <d v="2025-01-25T00:00:00"/>
    <x v="2"/>
    <s v="Computers"/>
    <s v="Central"/>
    <s v="Corporate"/>
    <s v="Atlanta"/>
    <n v="2"/>
    <n v="0.2"/>
    <n v="295.17"/>
    <n v="56.95"/>
  </r>
  <r>
    <s v="ORD-10469"/>
    <d v="2025-01-29T00:00:00"/>
    <x v="2"/>
    <s v="Phones"/>
    <s v="East"/>
    <s v="Home Office"/>
    <s v="Dallas"/>
    <n v="7"/>
    <n v="0.1"/>
    <n v="1379.28"/>
    <n v="311"/>
  </r>
  <r>
    <s v="ORD-10005"/>
    <d v="2025-01-30T00:00:00"/>
    <x v="2"/>
    <s v="Phones"/>
    <s v="East"/>
    <s v="Consumer"/>
    <s v="Houston"/>
    <n v="5"/>
    <n v="0.1"/>
    <n v="1113.94"/>
    <n v="285.11"/>
  </r>
  <r>
    <s v="ORD-10167"/>
    <d v="2025-01-30T00:00:00"/>
    <x v="1"/>
    <s v="Bookcases"/>
    <s v="Central"/>
    <s v="Consumer"/>
    <s v="Los Angeles"/>
    <n v="6"/>
    <n v="0.05"/>
    <n v="1120.75"/>
    <n v="101.93"/>
  </r>
  <r>
    <s v="ORD-10356"/>
    <d v="2025-01-31T00:00:00"/>
    <x v="0"/>
    <s v="Storage"/>
    <s v="East"/>
    <s v="Consumer"/>
    <s v="New York"/>
    <n v="7"/>
    <n v="0.15"/>
    <n v="726.97"/>
    <n v="138.93"/>
  </r>
  <r>
    <s v="ORD-10401"/>
    <d v="2025-02-02T00:00:00"/>
    <x v="2"/>
    <s v="Phones"/>
    <s v="South"/>
    <s v="Home Office"/>
    <s v="Seattle"/>
    <n v="1"/>
    <n v="0.3"/>
    <n v="70.88"/>
    <n v="8.7899999999999991"/>
  </r>
  <r>
    <s v="ORD-10321"/>
    <d v="2025-02-04T00:00:00"/>
    <x v="1"/>
    <s v="Bookcases"/>
    <s v="West"/>
    <s v="Consumer"/>
    <s v="Houston"/>
    <n v="4"/>
    <n v="0"/>
    <n v="713.29"/>
    <n v="139.9"/>
  </r>
  <r>
    <s v="ORD-10228"/>
    <d v="2025-02-04T00:00:00"/>
    <x v="1"/>
    <s v="Bookcases"/>
    <s v="South"/>
    <s v="Corporate"/>
    <s v="New York"/>
    <n v="6"/>
    <n v="0.15"/>
    <n v="958.39"/>
    <n v="132.04"/>
  </r>
  <r>
    <s v="ORD-10336"/>
    <d v="2025-02-05T00:00:00"/>
    <x v="2"/>
    <s v="Phones"/>
    <s v="Central"/>
    <s v="Corporate"/>
    <s v="Chicago"/>
    <n v="5"/>
    <n v="0.15"/>
    <n v="1364.14"/>
    <n v="145.94999999999999"/>
  </r>
  <r>
    <s v="ORD-10029"/>
    <d v="2025-02-08T00:00:00"/>
    <x v="1"/>
    <s v="Chairs"/>
    <s v="Central"/>
    <s v="Corporate"/>
    <s v="Dallas"/>
    <n v="3"/>
    <n v="0"/>
    <n v="478.62"/>
    <n v="81.040000000000006"/>
  </r>
  <r>
    <s v="ORD-10254"/>
    <d v="2025-02-09T00:00:00"/>
    <x v="2"/>
    <s v="Computers"/>
    <s v="Central"/>
    <s v="Home Office"/>
    <s v="Seattle"/>
    <n v="7"/>
    <n v="0.15"/>
    <n v="1571.35"/>
    <n v="256.69"/>
  </r>
  <r>
    <s v="ORD-10027"/>
    <d v="2025-02-10T00:00:00"/>
    <x v="2"/>
    <s v="Phones"/>
    <s v="West"/>
    <s v="Home Office"/>
    <s v="Seattle"/>
    <n v="6"/>
    <n v="0.3"/>
    <n v="407.47"/>
    <n v="-0.59"/>
  </r>
  <r>
    <s v="ORD-10367"/>
    <d v="2025-02-17T00:00:00"/>
    <x v="0"/>
    <s v="Storage"/>
    <s v="West"/>
    <s v="Consumer"/>
    <s v="Los Angeles"/>
    <n v="9"/>
    <n v="0.15"/>
    <n v="442.11"/>
    <n v="41.03"/>
  </r>
  <r>
    <s v="ORD-10371"/>
    <d v="2025-02-19T00:00:00"/>
    <x v="2"/>
    <s v="Accessories"/>
    <s v="South"/>
    <s v="Home Office"/>
    <s v="Houston"/>
    <n v="3"/>
    <n v="0"/>
    <n v="1109.46"/>
    <n v="77.06"/>
  </r>
  <r>
    <s v="ORD-10136"/>
    <d v="2025-02-21T00:00:00"/>
    <x v="1"/>
    <s v="Bookcases"/>
    <s v="South"/>
    <s v="Consumer"/>
    <s v="Seattle"/>
    <n v="3"/>
    <n v="0.2"/>
    <n v="652.01"/>
    <n v="-26.93"/>
  </r>
  <r>
    <s v="ORD-10054"/>
    <d v="2025-02-21T00:00:00"/>
    <x v="0"/>
    <s v="Paper"/>
    <s v="South"/>
    <s v="Home Office"/>
    <s v="Seattle"/>
    <n v="9"/>
    <n v="0.2"/>
    <n v="675.42"/>
    <n v="22.49"/>
  </r>
  <r>
    <s v="ORD-10442"/>
    <d v="2025-02-22T00:00:00"/>
    <x v="0"/>
    <s v="Art"/>
    <s v="West"/>
    <s v="Corporate"/>
    <s v="Los Angeles"/>
    <n v="3"/>
    <n v="0.15"/>
    <n v="160.97"/>
    <n v="13.81"/>
  </r>
  <r>
    <s v="ORD-10032"/>
    <d v="2025-02-23T00:00:00"/>
    <x v="2"/>
    <s v="Computers"/>
    <s v="Central"/>
    <s v="Home Office"/>
    <s v="Chicago"/>
    <n v="6"/>
    <n v="0"/>
    <n v="1423.17"/>
    <n v="223.42"/>
  </r>
  <r>
    <s v="ORD-10099"/>
    <d v="2025-02-27T00:00:00"/>
    <x v="2"/>
    <s v="Accessories"/>
    <s v="East"/>
    <s v="Corporate"/>
    <s v="New York"/>
    <n v="3"/>
    <n v="0.2"/>
    <n v="492.83"/>
    <n v="47.51"/>
  </r>
  <r>
    <s v="ORD-10361"/>
    <d v="2025-03-01T00:00:00"/>
    <x v="1"/>
    <s v="Chairs"/>
    <s v="Central"/>
    <s v="Home Office"/>
    <s v="Dallas"/>
    <n v="2"/>
    <n v="0.1"/>
    <n v="396.49"/>
    <n v="126.61"/>
  </r>
  <r>
    <s v="ORD-10390"/>
    <d v="2025-03-04T00:00:00"/>
    <x v="0"/>
    <s v="Art"/>
    <s v="East"/>
    <s v="Home Office"/>
    <s v="New York"/>
    <n v="1"/>
    <n v="0.1"/>
    <n v="74.88"/>
    <n v="16.989999999999998"/>
  </r>
  <r>
    <s v="ORD-10095"/>
    <d v="2025-03-04T00:00:00"/>
    <x v="0"/>
    <s v="Paper"/>
    <s v="West"/>
    <s v="Consumer"/>
    <s v="Los Angeles"/>
    <n v="6"/>
    <n v="0.1"/>
    <n v="321.83999999999997"/>
    <n v="51.29"/>
  </r>
  <r>
    <s v="ORD-10038"/>
    <d v="2025-03-06T00:00:00"/>
    <x v="2"/>
    <s v="Accessories"/>
    <s v="East"/>
    <s v="Corporate"/>
    <s v="Los Angeles"/>
    <n v="4"/>
    <n v="0"/>
    <n v="1188.58"/>
    <n v="86.34"/>
  </r>
  <r>
    <s v="ORD-10398"/>
    <d v="2025-03-07T00:00:00"/>
    <x v="1"/>
    <s v="Bookcases"/>
    <s v="South"/>
    <s v="Home Office"/>
    <s v="Boston"/>
    <n v="9"/>
    <n v="0.1"/>
    <n v="1874.58"/>
    <n v="346.03"/>
  </r>
  <r>
    <s v="ORD-10286"/>
    <d v="2025-03-10T00:00:00"/>
    <x v="2"/>
    <s v="Computers"/>
    <s v="Central"/>
    <s v="Consumer"/>
    <s v="Chicago"/>
    <n v="5"/>
    <n v="0.05"/>
    <n v="1312.78"/>
    <n v="130.55000000000001"/>
  </r>
  <r>
    <s v="ORD-10088"/>
    <d v="2025-03-10T00:00:00"/>
    <x v="0"/>
    <s v="Paper"/>
    <s v="West"/>
    <s v="Corporate"/>
    <s v="New York"/>
    <n v="6"/>
    <n v="0.1"/>
    <n v="395.73"/>
    <n v="21.72"/>
  </r>
  <r>
    <s v="ORD-10042"/>
    <d v="2025-03-11T00:00:00"/>
    <x v="1"/>
    <s v="Bookcases"/>
    <s v="West"/>
    <s v="Home Office"/>
    <s v="Dallas"/>
    <n v="4"/>
    <n v="0.2"/>
    <n v="499.74"/>
    <n v="68.53"/>
  </r>
  <r>
    <s v="ORD-10380"/>
    <d v="2025-03-15T00:00:00"/>
    <x v="2"/>
    <s v="Phones"/>
    <s v="East"/>
    <s v="Corporate"/>
    <s v="Seattle"/>
    <n v="1"/>
    <n v="0.1"/>
    <n v="139.81"/>
    <n v="27.72"/>
  </r>
  <r>
    <s v="ORD-10408"/>
    <d v="2025-03-15T00:00:00"/>
    <x v="2"/>
    <s v="Phones"/>
    <s v="East"/>
    <s v="Corporate"/>
    <s v="Boston"/>
    <n v="7"/>
    <n v="0.1"/>
    <n v="1834.37"/>
    <n v="174.44"/>
  </r>
  <r>
    <s v="ORD-10199"/>
    <d v="2025-03-17T00:00:00"/>
    <x v="0"/>
    <s v="Binders"/>
    <s v="East"/>
    <s v="Corporate"/>
    <s v="Houston"/>
    <n v="5"/>
    <n v="0.1"/>
    <n v="214.64"/>
    <n v="19.77"/>
  </r>
  <r>
    <s v="ORD-10126"/>
    <d v="2025-03-18T00:00:00"/>
    <x v="1"/>
    <s v="Bookcases"/>
    <s v="Central"/>
    <s v="Home Office"/>
    <s v="New York"/>
    <n v="8"/>
    <n v="0.05"/>
    <n v="1576.6"/>
    <n v="44.64"/>
  </r>
  <r>
    <s v="ORD-10337"/>
    <d v="2025-03-18T00:00:00"/>
    <x v="0"/>
    <s v="Art"/>
    <s v="East"/>
    <s v="Consumer"/>
    <s v="Los Angeles"/>
    <n v="3"/>
    <n v="0.05"/>
    <n v="112.07"/>
    <n v="11.9"/>
  </r>
  <r>
    <s v="ORD-10363"/>
    <d v="2025-03-25T00:00:00"/>
    <x v="1"/>
    <s v="Chairs"/>
    <s v="Central"/>
    <s v="Consumer"/>
    <s v="Boston"/>
    <n v="6"/>
    <n v="0.15"/>
    <n v="1390"/>
    <n v="87.18"/>
  </r>
  <r>
    <s v="ORD-10268"/>
    <d v="2025-03-25T00:00:00"/>
    <x v="0"/>
    <s v="Paper"/>
    <s v="East"/>
    <s v="Corporate"/>
    <s v="Boston"/>
    <n v="6"/>
    <n v="0.15"/>
    <n v="313.64999999999998"/>
    <n v="47.51"/>
  </r>
  <r>
    <s v="ORD-10143"/>
    <d v="2025-03-27T00:00:00"/>
    <x v="1"/>
    <s v="Tables"/>
    <s v="Central"/>
    <s v="Consumer"/>
    <s v="Houston"/>
    <n v="4"/>
    <n v="0.05"/>
    <n v="651.95000000000005"/>
    <n v="138.46"/>
  </r>
  <r>
    <s v="ORD-10477"/>
    <d v="2025-03-29T00:00:00"/>
    <x v="2"/>
    <s v="Accessories"/>
    <s v="South"/>
    <s v="Consumer"/>
    <s v="Los Angeles"/>
    <n v="7"/>
    <n v="0.1"/>
    <n v="1709.09"/>
    <n v="249.67"/>
  </r>
  <r>
    <s v="ORD-10226"/>
    <d v="2025-03-30T00:00:00"/>
    <x v="2"/>
    <s v="Computers"/>
    <s v="West"/>
    <s v="Corporate"/>
    <s v="Houston"/>
    <n v="8"/>
    <n v="0.2"/>
    <n v="1687.09"/>
    <n v="258.52999999999997"/>
  </r>
  <r>
    <s v="ORD-10115"/>
    <d v="2025-04-02T00:00:00"/>
    <x v="0"/>
    <s v="Art"/>
    <s v="Central"/>
    <s v="Consumer"/>
    <s v="New York"/>
    <n v="8"/>
    <n v="0"/>
    <n v="716.41"/>
    <n v="70.069999999999993"/>
  </r>
  <r>
    <s v="ORD-10013"/>
    <d v="2025-04-04T00:00:00"/>
    <x v="0"/>
    <s v="Storage"/>
    <s v="Central"/>
    <s v="Home Office"/>
    <s v="Dallas"/>
    <n v="1"/>
    <n v="0"/>
    <n v="103.9"/>
    <n v="10.98"/>
  </r>
  <r>
    <s v="ORD-10023"/>
    <d v="2025-04-06T00:00:00"/>
    <x v="2"/>
    <s v="Computers"/>
    <s v="Central"/>
    <s v="Consumer"/>
    <s v="Dallas"/>
    <n v="9"/>
    <n v="0.1"/>
    <n v="1774.46"/>
    <n v="342.62"/>
  </r>
  <r>
    <s v="ORD-10465"/>
    <d v="2025-04-07T00:00:00"/>
    <x v="0"/>
    <s v="Paper"/>
    <s v="West"/>
    <s v="Consumer"/>
    <s v="Dallas"/>
    <n v="6"/>
    <n v="0"/>
    <n v="506.45"/>
    <n v="78.64"/>
  </r>
  <r>
    <s v="ORD-10310"/>
    <d v="2025-04-10T00:00:00"/>
    <x v="2"/>
    <s v="Accessories"/>
    <s v="Central"/>
    <s v="Consumer"/>
    <s v="Dallas"/>
    <n v="2"/>
    <n v="0.1"/>
    <n v="406.7"/>
    <n v="-1.63"/>
  </r>
  <r>
    <s v="ORD-10260"/>
    <d v="2025-04-11T00:00:00"/>
    <x v="2"/>
    <s v="Computers"/>
    <s v="West"/>
    <s v="Corporate"/>
    <s v="Atlanta"/>
    <n v="8"/>
    <n v="0.15"/>
    <n v="1907.47"/>
    <n v="227.79"/>
  </r>
  <r>
    <s v="ORD-10147"/>
    <d v="2025-04-13T00:00:00"/>
    <x v="0"/>
    <s v="Paper"/>
    <s v="South"/>
    <s v="Home Office"/>
    <s v="Dallas"/>
    <n v="7"/>
    <n v="0.1"/>
    <n v="609.44000000000005"/>
    <n v="109.19"/>
  </r>
  <r>
    <s v="ORD-10072"/>
    <d v="2025-04-13T00:00:00"/>
    <x v="2"/>
    <s v="Phones"/>
    <s v="East"/>
    <s v="Corporate"/>
    <s v="Houston"/>
    <n v="5"/>
    <n v="0"/>
    <n v="1228.9100000000001"/>
    <n v="396.7"/>
  </r>
  <r>
    <s v="ORD-10165"/>
    <d v="2025-04-15T00:00:00"/>
    <x v="2"/>
    <s v="Accessories"/>
    <s v="South"/>
    <s v="Corporate"/>
    <s v="Atlanta"/>
    <n v="5"/>
    <n v="0.05"/>
    <n v="1209.95"/>
    <n v="73.97"/>
  </r>
  <r>
    <s v="ORD-10053"/>
    <d v="2025-04-19T00:00:00"/>
    <x v="0"/>
    <s v="Storage"/>
    <s v="South"/>
    <s v="Corporate"/>
    <s v="Seattle"/>
    <n v="8"/>
    <n v="0"/>
    <n v="218.78"/>
    <n v="41.54"/>
  </r>
  <r>
    <s v="ORD-10120"/>
    <d v="2025-04-20T00:00:00"/>
    <x v="1"/>
    <s v="Tables"/>
    <s v="West"/>
    <s v="Corporate"/>
    <s v="Atlanta"/>
    <n v="8"/>
    <n v="0.2"/>
    <n v="869.22"/>
    <n v="84.24"/>
  </r>
  <r>
    <s v="ORD-10229"/>
    <d v="2025-04-20T00:00:00"/>
    <x v="0"/>
    <s v="Storage"/>
    <s v="Central"/>
    <s v="Consumer"/>
    <s v="Los Angeles"/>
    <n v="9"/>
    <n v="0"/>
    <n v="875.16"/>
    <n v="235.81"/>
  </r>
  <r>
    <s v="ORD-10080"/>
    <d v="2025-04-20T00:00:00"/>
    <x v="2"/>
    <s v="Phones"/>
    <s v="South"/>
    <s v="Corporate"/>
    <s v="Houston"/>
    <n v="8"/>
    <n v="0.2"/>
    <n v="1601.55"/>
    <n v="434.62"/>
  </r>
  <r>
    <s v="ORD-10332"/>
    <d v="2025-04-21T00:00:00"/>
    <x v="0"/>
    <s v="Paper"/>
    <s v="West"/>
    <s v="Corporate"/>
    <s v="Atlanta"/>
    <n v="3"/>
    <n v="0.1"/>
    <n v="172.8"/>
    <n v="12.97"/>
  </r>
  <r>
    <s v="ORD-10375"/>
    <d v="2025-04-21T00:00:00"/>
    <x v="2"/>
    <s v="Phones"/>
    <s v="Central"/>
    <s v="Corporate"/>
    <s v="Boston"/>
    <n v="6"/>
    <n v="0.1"/>
    <n v="1795.36"/>
    <n v="90.54"/>
  </r>
  <r>
    <s v="ORD-10096"/>
    <d v="2025-04-21T00:00:00"/>
    <x v="1"/>
    <s v="Chairs"/>
    <s v="West"/>
    <s v="Consumer"/>
    <s v="Houston"/>
    <n v="9"/>
    <n v="0.1"/>
    <n v="805.81"/>
    <n v="188.73"/>
  </r>
  <r>
    <s v="ORD-10287"/>
    <d v="2025-04-22T00:00:00"/>
    <x v="1"/>
    <s v="Chairs"/>
    <s v="West"/>
    <s v="Corporate"/>
    <s v="Dallas"/>
    <n v="4"/>
    <n v="0.2"/>
    <n v="728.74"/>
    <n v="173.51"/>
  </r>
  <r>
    <s v="ORD-10265"/>
    <d v="2025-04-26T00:00:00"/>
    <x v="0"/>
    <s v="Storage"/>
    <s v="West"/>
    <s v="Home Office"/>
    <s v="Atlanta"/>
    <n v="9"/>
    <n v="0.15"/>
    <n v="468.62"/>
    <n v="70.569999999999993"/>
  </r>
  <r>
    <s v="ORD-10305"/>
    <d v="2025-04-29T00:00:00"/>
    <x v="0"/>
    <s v="Storage"/>
    <s v="West"/>
    <s v="Corporate"/>
    <s v="Houston"/>
    <n v="9"/>
    <n v="0.05"/>
    <n v="935.63"/>
    <n v="152.36000000000001"/>
  </r>
  <r>
    <s v="ORD-10315"/>
    <d v="2025-05-03T00:00:00"/>
    <x v="0"/>
    <s v="Storage"/>
    <s v="South"/>
    <s v="Corporate"/>
    <s v="Atlanta"/>
    <n v="5"/>
    <n v="0.15"/>
    <n v="290.61"/>
    <n v="60.32"/>
  </r>
  <r>
    <s v="ORD-10441"/>
    <d v="2025-05-04T00:00:00"/>
    <x v="2"/>
    <s v="Accessories"/>
    <s v="Central"/>
    <s v="Corporate"/>
    <s v="New York"/>
    <n v="7"/>
    <n v="0.05"/>
    <n v="1775.13"/>
    <n v="179.06"/>
  </r>
  <r>
    <s v="ORD-10338"/>
    <d v="2025-05-04T00:00:00"/>
    <x v="0"/>
    <s v="Storage"/>
    <s v="South"/>
    <s v="Home Office"/>
    <s v="New York"/>
    <n v="6"/>
    <n v="0.15"/>
    <n v="208.49"/>
    <n v="28.08"/>
  </r>
  <r>
    <s v="ORD-10142"/>
    <d v="2025-05-05T00:00:00"/>
    <x v="2"/>
    <s v="Phones"/>
    <s v="Central"/>
    <s v="Consumer"/>
    <s v="Seattle"/>
    <n v="9"/>
    <n v="0.15"/>
    <n v="2025.92"/>
    <n v="306.29000000000002"/>
  </r>
  <r>
    <s v="ORD-10262"/>
    <d v="2025-05-05T00:00:00"/>
    <x v="0"/>
    <s v="Binders"/>
    <s v="Central"/>
    <s v="Home Office"/>
    <s v="Dallas"/>
    <n v="3"/>
    <n v="0.1"/>
    <n v="149.36000000000001"/>
    <n v="8.84"/>
  </r>
  <r>
    <s v="ORD-10424"/>
    <d v="2025-05-07T00:00:00"/>
    <x v="1"/>
    <s v="Chairs"/>
    <s v="West"/>
    <s v="Corporate"/>
    <s v="Seattle"/>
    <n v="3"/>
    <n v="0.05"/>
    <n v="627.63"/>
    <n v="195.07"/>
  </r>
  <r>
    <s v="ORD-10360"/>
    <d v="2025-05-07T00:00:00"/>
    <x v="1"/>
    <s v="Tables"/>
    <s v="East"/>
    <s v="Home Office"/>
    <s v="Chicago"/>
    <n v="9"/>
    <n v="0"/>
    <n v="1420.52"/>
    <n v="3.81"/>
  </r>
  <r>
    <s v="ORD-10196"/>
    <d v="2025-05-08T00:00:00"/>
    <x v="1"/>
    <s v="Tables"/>
    <s v="East"/>
    <s v="Corporate"/>
    <s v="Los Angeles"/>
    <n v="9"/>
    <n v="0.2"/>
    <n v="1701.69"/>
    <n v="339.94"/>
  </r>
  <r>
    <s v="ORD-10296"/>
    <d v="2025-05-11T00:00:00"/>
    <x v="1"/>
    <s v="Tables"/>
    <s v="West"/>
    <s v="Home Office"/>
    <s v="Atlanta"/>
    <n v="3"/>
    <n v="0.05"/>
    <n v="752.58"/>
    <n v="47.27"/>
  </r>
  <r>
    <s v="ORD-10353"/>
    <d v="2025-05-11T00:00:00"/>
    <x v="0"/>
    <s v="Paper"/>
    <s v="Central"/>
    <s v="Corporate"/>
    <s v="New York"/>
    <n v="9"/>
    <n v="0.1"/>
    <n v="903.44"/>
    <n v="84.88"/>
  </r>
  <r>
    <s v="ORD-10330"/>
    <d v="2025-05-12T00:00:00"/>
    <x v="2"/>
    <s v="Phones"/>
    <s v="West"/>
    <s v="Home Office"/>
    <s v="Los Angeles"/>
    <n v="6"/>
    <n v="0.3"/>
    <n v="1052.94"/>
    <n v="-57.01"/>
  </r>
  <r>
    <s v="ORD-10282"/>
    <d v="2025-05-12T00:00:00"/>
    <x v="1"/>
    <s v="Tables"/>
    <s v="East"/>
    <s v="Consumer"/>
    <s v="Chicago"/>
    <n v="3"/>
    <n v="0.15"/>
    <n v="144.38"/>
    <n v="7.34"/>
  </r>
  <r>
    <s v="ORD-10144"/>
    <d v="2025-05-14T00:00:00"/>
    <x v="2"/>
    <s v="Phones"/>
    <s v="Central"/>
    <s v="Consumer"/>
    <s v="Seattle"/>
    <n v="5"/>
    <n v="0.15"/>
    <n v="688.03"/>
    <n v="-8.17"/>
  </r>
  <r>
    <s v="ORD-10173"/>
    <d v="2025-05-14T00:00:00"/>
    <x v="1"/>
    <s v="Bookcases"/>
    <s v="East"/>
    <s v="Home Office"/>
    <s v="New York"/>
    <n v="7"/>
    <n v="0"/>
    <n v="830.86"/>
    <n v="89.8"/>
  </r>
  <r>
    <s v="ORD-10269"/>
    <d v="2025-05-15T00:00:00"/>
    <x v="1"/>
    <s v="Tables"/>
    <s v="West"/>
    <s v="Consumer"/>
    <s v="Boston"/>
    <n v="7"/>
    <n v="0.1"/>
    <n v="790"/>
    <n v="103.55"/>
  </r>
  <r>
    <s v="ORD-10064"/>
    <d v="2025-05-15T00:00:00"/>
    <x v="1"/>
    <s v="Chairs"/>
    <s v="East"/>
    <s v="Consumer"/>
    <s v="Houston"/>
    <n v="3"/>
    <n v="0.2"/>
    <n v="296.08999999999997"/>
    <n v="49.43"/>
  </r>
  <r>
    <s v="ORD-10106"/>
    <d v="2025-05-16T00:00:00"/>
    <x v="2"/>
    <s v="Accessories"/>
    <s v="South"/>
    <s v="Consumer"/>
    <s v="Seattle"/>
    <n v="3"/>
    <n v="0.05"/>
    <n v="877.44"/>
    <n v="105.23"/>
  </r>
  <r>
    <s v="ORD-10430"/>
    <d v="2025-05-20T00:00:00"/>
    <x v="2"/>
    <s v="Computers"/>
    <s v="West"/>
    <s v="Corporate"/>
    <s v="Dallas"/>
    <n v="9"/>
    <n v="0"/>
    <n v="1834.17"/>
    <n v="649.91999999999996"/>
  </r>
  <r>
    <s v="ORD-10174"/>
    <d v="2025-05-20T00:00:00"/>
    <x v="2"/>
    <s v="Accessories"/>
    <s v="South"/>
    <s v="Corporate"/>
    <s v="Dallas"/>
    <n v="5"/>
    <n v="0.05"/>
    <n v="407.19"/>
    <n v="46.73"/>
  </r>
  <r>
    <s v="ORD-10263"/>
    <d v="2025-05-21T00:00:00"/>
    <x v="2"/>
    <s v="Phones"/>
    <s v="South"/>
    <s v="Corporate"/>
    <s v="Dallas"/>
    <n v="4"/>
    <n v="0.2"/>
    <n v="527.57000000000005"/>
    <n v="97.61"/>
  </r>
  <r>
    <s v="ORD-10244"/>
    <d v="2025-05-26T00:00:00"/>
    <x v="1"/>
    <s v="Chairs"/>
    <s v="Central"/>
    <s v="Corporate"/>
    <s v="Atlanta"/>
    <n v="4"/>
    <n v="0.2"/>
    <n v="363.28"/>
    <n v="14.35"/>
  </r>
  <r>
    <s v="ORD-10160"/>
    <d v="2025-05-28T00:00:00"/>
    <x v="0"/>
    <s v="Art"/>
    <s v="East"/>
    <s v="Corporate"/>
    <s v="Seattle"/>
    <n v="1"/>
    <n v="0.15"/>
    <n v="118.12"/>
    <n v="14.87"/>
  </r>
  <r>
    <s v="ORD-10354"/>
    <d v="2025-05-30T00:00:00"/>
    <x v="2"/>
    <s v="Computers"/>
    <s v="West"/>
    <s v="Consumer"/>
    <s v="Los Angeles"/>
    <n v="1"/>
    <n v="0"/>
    <n v="317.66000000000003"/>
    <n v="15.53"/>
  </r>
  <r>
    <s v="ORD-10432"/>
    <d v="2025-05-31T00:00:00"/>
    <x v="0"/>
    <s v="Binders"/>
    <s v="East"/>
    <s v="Consumer"/>
    <s v="Atlanta"/>
    <n v="2"/>
    <n v="0.3"/>
    <n v="130.97999999999999"/>
    <n v="-10.220000000000001"/>
  </r>
  <r>
    <s v="ORD-10327"/>
    <d v="2025-06-02T00:00:00"/>
    <x v="1"/>
    <s v="Tables"/>
    <s v="South"/>
    <s v="Corporate"/>
    <s v="Los Angeles"/>
    <n v="8"/>
    <n v="0"/>
    <n v="1421.56"/>
    <n v="132.63"/>
  </r>
  <r>
    <s v="ORD-10464"/>
    <d v="2025-06-04T00:00:00"/>
    <x v="1"/>
    <s v="Tables"/>
    <s v="Central"/>
    <s v="Corporate"/>
    <s v="Boston"/>
    <n v="5"/>
    <n v="0.2"/>
    <n v="884.4"/>
    <n v="157.88999999999999"/>
  </r>
  <r>
    <s v="ORD-10188"/>
    <d v="2025-06-04T00:00:00"/>
    <x v="1"/>
    <s v="Tables"/>
    <s v="South"/>
    <s v="Home Office"/>
    <s v="Boston"/>
    <n v="5"/>
    <n v="0.05"/>
    <n v="629.71"/>
    <n v="120.79"/>
  </r>
  <r>
    <s v="ORD-10437"/>
    <d v="2025-06-04T00:00:00"/>
    <x v="2"/>
    <s v="Computers"/>
    <s v="South"/>
    <s v="Consumer"/>
    <s v="Boston"/>
    <n v="3"/>
    <n v="0"/>
    <n v="716.35"/>
    <n v="140.99"/>
  </r>
  <r>
    <s v="ORD-10162"/>
    <d v="2025-06-06T00:00:00"/>
    <x v="0"/>
    <s v="Storage"/>
    <s v="Central"/>
    <s v="Corporate"/>
    <s v="Boston"/>
    <n v="7"/>
    <n v="0.05"/>
    <n v="750.12"/>
    <n v="93.85"/>
  </r>
  <r>
    <s v="ORD-10289"/>
    <d v="2025-06-07T00:00:00"/>
    <x v="2"/>
    <s v="Phones"/>
    <s v="Central"/>
    <s v="Home Office"/>
    <s v="Houston"/>
    <n v="1"/>
    <n v="0.15"/>
    <n v="238.87"/>
    <n v="20.239999999999998"/>
  </r>
  <r>
    <s v="ORD-10187"/>
    <d v="2025-06-09T00:00:00"/>
    <x v="0"/>
    <s v="Paper"/>
    <s v="East"/>
    <s v="Consumer"/>
    <s v="Houston"/>
    <n v="2"/>
    <n v="0.05"/>
    <n v="204.01"/>
    <n v="31.44"/>
  </r>
  <r>
    <s v="ORD-10341"/>
    <d v="2025-06-09T00:00:00"/>
    <x v="1"/>
    <s v="Tables"/>
    <s v="Central"/>
    <s v="Corporate"/>
    <s v="New York"/>
    <n v="3"/>
    <n v="0.2"/>
    <n v="404.3"/>
    <n v="57.54"/>
  </r>
  <r>
    <s v="ORD-10352"/>
    <d v="2025-06-10T00:00:00"/>
    <x v="0"/>
    <s v="Paper"/>
    <s v="Central"/>
    <s v="Corporate"/>
    <s v="Boston"/>
    <n v="7"/>
    <n v="0.15"/>
    <n v="526.75"/>
    <n v="16.010000000000002"/>
  </r>
  <r>
    <s v="ORD-10056"/>
    <d v="2025-06-12T00:00:00"/>
    <x v="0"/>
    <s v="Binders"/>
    <s v="East"/>
    <s v="Home Office"/>
    <s v="Houston"/>
    <n v="5"/>
    <n v="0.15"/>
    <n v="42.5"/>
    <n v="-4.3600000000000003"/>
  </r>
  <r>
    <s v="ORD-10168"/>
    <d v="2025-06-15T00:00:00"/>
    <x v="2"/>
    <s v="Accessories"/>
    <s v="West"/>
    <s v="Corporate"/>
    <s v="Boston"/>
    <n v="6"/>
    <n v="0"/>
    <n v="699.68"/>
    <n v="0.28000000000000003"/>
  </r>
  <r>
    <s v="ORD-10309"/>
    <d v="2025-06-20T00:00:00"/>
    <x v="0"/>
    <s v="Art"/>
    <s v="Central"/>
    <s v="Consumer"/>
    <s v="Seattle"/>
    <n v="3"/>
    <n v="0.15"/>
    <n v="179.34"/>
    <n v="23.66"/>
  </r>
  <r>
    <s v="ORD-10048"/>
    <d v="2025-06-20T00:00:00"/>
    <x v="1"/>
    <s v="Bookcases"/>
    <s v="East"/>
    <s v="Consumer"/>
    <s v="Los Angeles"/>
    <n v="8"/>
    <n v="0.2"/>
    <n v="1335.06"/>
    <n v="329.11"/>
  </r>
  <r>
    <s v="ORD-10467"/>
    <d v="2025-06-20T00:00:00"/>
    <x v="2"/>
    <s v="Accessories"/>
    <s v="Central"/>
    <s v="Corporate"/>
    <s v="Houston"/>
    <n v="4"/>
    <n v="0.2"/>
    <n v="1250.3499999999999"/>
    <n v="229.25"/>
  </r>
  <r>
    <s v="ORD-10316"/>
    <d v="2025-06-21T00:00:00"/>
    <x v="0"/>
    <s v="Paper"/>
    <s v="South"/>
    <s v="Consumer"/>
    <s v="New York"/>
    <n v="3"/>
    <n v="0.1"/>
    <n v="27"/>
    <n v="3.86"/>
  </r>
  <r>
    <s v="ORD-10459"/>
    <d v="2025-06-24T00:00:00"/>
    <x v="2"/>
    <s v="Accessories"/>
    <s v="South"/>
    <s v="Home Office"/>
    <s v="Houston"/>
    <n v="9"/>
    <n v="0.1"/>
    <n v="2488.87"/>
    <n v="549.09"/>
  </r>
  <r>
    <s v="ORD-10366"/>
    <d v="2025-06-29T00:00:00"/>
    <x v="1"/>
    <s v="Chairs"/>
    <s v="West"/>
    <s v="Corporate"/>
    <s v="Seattle"/>
    <n v="1"/>
    <n v="0.3"/>
    <n v="177.25"/>
    <n v="10.61"/>
  </r>
  <r>
    <s v="ORD-10156"/>
    <d v="2025-07-01T00:00:00"/>
    <x v="2"/>
    <s v="Accessories"/>
    <s v="South"/>
    <s v="Corporate"/>
    <s v="Houston"/>
    <n v="3"/>
    <n v="0.2"/>
    <n v="906.41"/>
    <n v="145.5"/>
  </r>
  <r>
    <s v="ORD-10258"/>
    <d v="2025-07-01T00:00:00"/>
    <x v="0"/>
    <s v="Art"/>
    <s v="South"/>
    <s v="Corporate"/>
    <s v="Atlanta"/>
    <n v="4"/>
    <n v="0.15"/>
    <n v="102.29"/>
    <n v="4.79"/>
  </r>
  <r>
    <s v="ORD-10189"/>
    <d v="2025-07-05T00:00:00"/>
    <x v="1"/>
    <s v="Tables"/>
    <s v="Central"/>
    <s v="Home Office"/>
    <s v="New York"/>
    <n v="3"/>
    <n v="0.1"/>
    <n v="251.94"/>
    <n v="36.06"/>
  </r>
  <r>
    <s v="ORD-10232"/>
    <d v="2025-07-11T00:00:00"/>
    <x v="1"/>
    <s v="Bookcases"/>
    <s v="East"/>
    <s v="Home Office"/>
    <s v="Boston"/>
    <n v="8"/>
    <n v="0"/>
    <n v="2061.19"/>
    <n v="260.56"/>
  </r>
  <r>
    <s v="ORD-10084"/>
    <d v="2025-07-14T00:00:00"/>
    <x v="2"/>
    <s v="Accessories"/>
    <s v="South"/>
    <s v="Home Office"/>
    <s v="Seattle"/>
    <n v="6"/>
    <n v="0.1"/>
    <n v="1672.27"/>
    <n v="431.3"/>
  </r>
  <r>
    <s v="ORD-10417"/>
    <d v="2025-07-17T00:00:00"/>
    <x v="2"/>
    <s v="Accessories"/>
    <s v="West"/>
    <s v="Home Office"/>
    <s v="Chicago"/>
    <n v="2"/>
    <n v="0.1"/>
    <n v="543.24"/>
    <n v="69.8"/>
  </r>
  <r>
    <s v="ORD-10035"/>
    <d v="2025-07-20T00:00:00"/>
    <x v="0"/>
    <s v="Storage"/>
    <s v="South"/>
    <s v="Consumer"/>
    <s v="Boston"/>
    <n v="9"/>
    <n v="0.3"/>
    <n v="760.96"/>
    <n v="-10.74"/>
  </r>
  <r>
    <s v="ORD-10491"/>
    <d v="2025-07-21T00:00:00"/>
    <x v="1"/>
    <s v="Tables"/>
    <s v="West"/>
    <s v="Consumer"/>
    <s v="Chicago"/>
    <n v="8"/>
    <n v="0.1"/>
    <n v="1314.93"/>
    <n v="230.9"/>
  </r>
  <r>
    <s v="ORD-10295"/>
    <d v="2025-07-22T00:00:00"/>
    <x v="2"/>
    <s v="Accessories"/>
    <s v="West"/>
    <s v="Consumer"/>
    <s v="New York"/>
    <n v="5"/>
    <n v="0.05"/>
    <n v="1410.82"/>
    <n v="29.76"/>
  </r>
  <r>
    <s v="ORD-10418"/>
    <d v="2025-07-24T00:00:00"/>
    <x v="1"/>
    <s v="Chairs"/>
    <s v="South"/>
    <s v="Home Office"/>
    <s v="New York"/>
    <n v="2"/>
    <n v="0.2"/>
    <n v="378.22"/>
    <n v="82.7"/>
  </r>
  <r>
    <s v="ORD-10314"/>
    <d v="2025-07-24T00:00:00"/>
    <x v="0"/>
    <s v="Art"/>
    <s v="South"/>
    <s v="Home Office"/>
    <s v="Atlanta"/>
    <n v="4"/>
    <n v="0.2"/>
    <n v="259.93"/>
    <n v="18.190000000000001"/>
  </r>
  <r>
    <s v="ORD-10440"/>
    <d v="2025-07-26T00:00:00"/>
    <x v="2"/>
    <s v="Accessories"/>
    <s v="West"/>
    <s v="Consumer"/>
    <s v="Dallas"/>
    <n v="9"/>
    <n v="0.1"/>
    <n v="979.57"/>
    <n v="123.94"/>
  </r>
  <r>
    <s v="ORD-10421"/>
    <d v="2025-07-28T00:00:00"/>
    <x v="0"/>
    <s v="Storage"/>
    <s v="West"/>
    <s v="Home Office"/>
    <s v="Chicago"/>
    <n v="4"/>
    <n v="0"/>
    <n v="318.52"/>
    <n v="104.84"/>
  </r>
  <r>
    <s v="ORD-10046"/>
    <d v="2025-07-28T00:00:00"/>
    <x v="0"/>
    <s v="Paper"/>
    <s v="Central"/>
    <s v="Corporate"/>
    <s v="Seattle"/>
    <n v="6"/>
    <n v="0.15"/>
    <n v="342.35"/>
    <n v="91.23"/>
  </r>
  <r>
    <s v="ORD-10233"/>
    <d v="2025-07-29T00:00:00"/>
    <x v="1"/>
    <s v="Tables"/>
    <s v="South"/>
    <s v="Home Office"/>
    <s v="Houston"/>
    <n v="7"/>
    <n v="0.05"/>
    <n v="606.22"/>
    <n v="13.4"/>
  </r>
  <r>
    <s v="ORD-10387"/>
    <d v="2025-07-30T00:00:00"/>
    <x v="2"/>
    <s v="Phones"/>
    <s v="South"/>
    <s v="Consumer"/>
    <s v="Boston"/>
    <n v="9"/>
    <n v="0.3"/>
    <n v="1126.83"/>
    <n v="70.98"/>
  </r>
  <r>
    <s v="ORD-10131"/>
    <d v="2025-08-01T00:00:00"/>
    <x v="1"/>
    <s v="Chairs"/>
    <s v="Central"/>
    <s v="Corporate"/>
    <s v="Atlanta"/>
    <n v="7"/>
    <n v="0.05"/>
    <n v="825.83"/>
    <n v="191.8"/>
  </r>
  <r>
    <s v="ORD-10452"/>
    <d v="2025-08-02T00:00:00"/>
    <x v="1"/>
    <s v="Chairs"/>
    <s v="East"/>
    <s v="Corporate"/>
    <s v="Houston"/>
    <n v="9"/>
    <n v="0.2"/>
    <n v="1908.88"/>
    <n v="-20.61"/>
  </r>
  <r>
    <s v="ORD-10419"/>
    <d v="2025-08-06T00:00:00"/>
    <x v="0"/>
    <s v="Paper"/>
    <s v="West"/>
    <s v="Corporate"/>
    <s v="Dallas"/>
    <n v="4"/>
    <n v="0"/>
    <n v="387.48"/>
    <n v="50.63"/>
  </r>
  <r>
    <s v="ORD-10400"/>
    <d v="2025-08-07T00:00:00"/>
    <x v="0"/>
    <s v="Binders"/>
    <s v="West"/>
    <s v="Home Office"/>
    <s v="Atlanta"/>
    <n v="3"/>
    <n v="0.1"/>
    <n v="177.64"/>
    <n v="6.67"/>
  </r>
  <r>
    <s v="ORD-10215"/>
    <d v="2025-08-10T00:00:00"/>
    <x v="0"/>
    <s v="Storage"/>
    <s v="South"/>
    <s v="Home Office"/>
    <s v="Los Angeles"/>
    <n v="7"/>
    <n v="0.2"/>
    <n v="454.66"/>
    <n v="47.26"/>
  </r>
  <r>
    <s v="ORD-10102"/>
    <d v="2025-08-12T00:00:00"/>
    <x v="0"/>
    <s v="Art"/>
    <s v="Central"/>
    <s v="Home Office"/>
    <s v="Los Angeles"/>
    <n v="8"/>
    <n v="0"/>
    <n v="359.98"/>
    <n v="62.46"/>
  </r>
  <r>
    <s v="ORD-10299"/>
    <d v="2025-08-14T00:00:00"/>
    <x v="0"/>
    <s v="Paper"/>
    <s v="East"/>
    <s v="Home Office"/>
    <s v="Boston"/>
    <n v="4"/>
    <n v="0.1"/>
    <n v="382.49"/>
    <n v="41.1"/>
  </r>
  <r>
    <s v="ORD-10177"/>
    <d v="2025-08-15T00:00:00"/>
    <x v="0"/>
    <s v="Paper"/>
    <s v="Central"/>
    <s v="Home Office"/>
    <s v="Atlanta"/>
    <n v="4"/>
    <n v="0"/>
    <n v="127.5"/>
    <n v="28.96"/>
  </r>
  <r>
    <s v="ORD-10481"/>
    <d v="2025-08-15T00:00:00"/>
    <x v="0"/>
    <s v="Binders"/>
    <s v="East"/>
    <s v="Corporate"/>
    <s v="Chicago"/>
    <n v="4"/>
    <n v="0.05"/>
    <n v="235.13"/>
    <n v="49.94"/>
  </r>
  <r>
    <s v="ORD-10333"/>
    <d v="2025-08-16T00:00:00"/>
    <x v="2"/>
    <s v="Computers"/>
    <s v="West"/>
    <s v="Corporate"/>
    <s v="Boston"/>
    <n v="4"/>
    <n v="0.15"/>
    <n v="894.93"/>
    <n v="82.14"/>
  </r>
  <r>
    <s v="ORD-10216"/>
    <d v="2025-08-21T00:00:00"/>
    <x v="2"/>
    <s v="Accessories"/>
    <s v="East"/>
    <s v="Corporate"/>
    <s v="Dallas"/>
    <n v="6"/>
    <n v="0.1"/>
    <n v="875.66"/>
    <n v="50.87"/>
  </r>
  <r>
    <s v="ORD-10476"/>
    <d v="2025-08-24T00:00:00"/>
    <x v="0"/>
    <s v="Art"/>
    <s v="East"/>
    <s v="Corporate"/>
    <s v="Seattle"/>
    <n v="9"/>
    <n v="0.05"/>
    <n v="573.12"/>
    <n v="89.33"/>
  </r>
  <r>
    <s v="ORD-10049"/>
    <d v="2025-08-24T00:00:00"/>
    <x v="1"/>
    <s v="Bookcases"/>
    <s v="East"/>
    <s v="Home Office"/>
    <s v="Seattle"/>
    <n v="4"/>
    <n v="0.1"/>
    <n v="718.69"/>
    <n v="152.55000000000001"/>
  </r>
  <r>
    <s v="ORD-10134"/>
    <d v="2025-08-26T00:00:00"/>
    <x v="1"/>
    <s v="Bookcases"/>
    <s v="Central"/>
    <s v="Consumer"/>
    <s v="Chicago"/>
    <n v="9"/>
    <n v="0"/>
    <n v="2057.1799999999998"/>
    <n v="306.22000000000003"/>
  </r>
  <r>
    <s v="ORD-10019"/>
    <d v="2025-08-26T00:00:00"/>
    <x v="1"/>
    <s v="Bookcases"/>
    <s v="Central"/>
    <s v="Corporate"/>
    <s v="Chicago"/>
    <n v="6"/>
    <n v="0"/>
    <n v="559.6"/>
    <n v="33.270000000000003"/>
  </r>
  <r>
    <s v="ORD-10372"/>
    <d v="2025-08-30T00:00:00"/>
    <x v="2"/>
    <s v="Computers"/>
    <s v="South"/>
    <s v="Consumer"/>
    <s v="Houston"/>
    <n v="4"/>
    <n v="0.1"/>
    <n v="345.42"/>
    <n v="19.46"/>
  </r>
  <r>
    <s v="ORD-10133"/>
    <d v="2025-08-31T00:00:00"/>
    <x v="2"/>
    <s v="Computers"/>
    <s v="East"/>
    <s v="Consumer"/>
    <s v="Dallas"/>
    <n v="7"/>
    <n v="0"/>
    <n v="3003.06"/>
    <n v="280.13"/>
  </r>
  <r>
    <s v="ORD-10224"/>
    <d v="2025-09-01T00:00:00"/>
    <x v="1"/>
    <s v="Chairs"/>
    <s v="East"/>
    <s v="Consumer"/>
    <s v="Chicago"/>
    <n v="3"/>
    <n v="0"/>
    <n v="606.79999999999995"/>
    <n v="81.42"/>
  </r>
  <r>
    <s v="ORD-10454"/>
    <d v="2025-09-01T00:00:00"/>
    <x v="0"/>
    <s v="Binders"/>
    <s v="West"/>
    <s v="Corporate"/>
    <s v="Seattle"/>
    <n v="1"/>
    <n v="0.05"/>
    <n v="39.880000000000003"/>
    <n v="4.8099999999999996"/>
  </r>
  <r>
    <s v="ORD-10202"/>
    <d v="2025-09-01T00:00:00"/>
    <x v="2"/>
    <s v="Computers"/>
    <s v="West"/>
    <s v="Home Office"/>
    <s v="Atlanta"/>
    <n v="6"/>
    <n v="0.15"/>
    <n v="1898.25"/>
    <n v="232.68"/>
  </r>
  <r>
    <s v="ORD-10291"/>
    <d v="2025-09-04T00:00:00"/>
    <x v="2"/>
    <s v="Computers"/>
    <s v="West"/>
    <s v="Corporate"/>
    <s v="Boston"/>
    <n v="1"/>
    <n v="0"/>
    <n v="160.97999999999999"/>
    <n v="37.270000000000003"/>
  </r>
  <r>
    <s v="ORD-10028"/>
    <d v="2025-09-04T00:00:00"/>
    <x v="1"/>
    <s v="Bookcases"/>
    <s v="South"/>
    <s v="Home Office"/>
    <s v="Boston"/>
    <n v="7"/>
    <n v="0.1"/>
    <n v="1186.82"/>
    <n v="244.06"/>
  </r>
  <r>
    <s v="ORD-10339"/>
    <d v="2025-09-06T00:00:00"/>
    <x v="1"/>
    <s v="Chairs"/>
    <s v="West"/>
    <s v="Corporate"/>
    <s v="Atlanta"/>
    <n v="4"/>
    <n v="0.15"/>
    <n v="584.05999999999995"/>
    <n v="-18.920000000000002"/>
  </r>
  <r>
    <s v="ORD-10008"/>
    <d v="2025-09-07T00:00:00"/>
    <x v="0"/>
    <s v="Art"/>
    <s v="East"/>
    <s v="Home Office"/>
    <s v="Dallas"/>
    <n v="4"/>
    <n v="0.3"/>
    <n v="148.28"/>
    <n v="15.94"/>
  </r>
  <r>
    <s v="ORD-10277"/>
    <d v="2025-09-07T00:00:00"/>
    <x v="0"/>
    <s v="Binders"/>
    <s v="East"/>
    <s v="Home Office"/>
    <s v="Los Angeles"/>
    <n v="4"/>
    <n v="0"/>
    <n v="225.15"/>
    <n v="64.77"/>
  </r>
  <r>
    <s v="ORD-10011"/>
    <d v="2025-09-07T00:00:00"/>
    <x v="2"/>
    <s v="Phones"/>
    <s v="West"/>
    <s v="Consumer"/>
    <s v="Seattle"/>
    <n v="2"/>
    <n v="0.1"/>
    <n v="683.53"/>
    <n v="20.170000000000002"/>
  </r>
  <r>
    <s v="ORD-10456"/>
    <d v="2025-09-08T00:00:00"/>
    <x v="1"/>
    <s v="Chairs"/>
    <s v="East"/>
    <s v="Home Office"/>
    <s v="New York"/>
    <n v="5"/>
    <n v="0"/>
    <n v="894.17"/>
    <n v="167.56"/>
  </r>
  <r>
    <s v="ORD-10344"/>
    <d v="2025-09-11T00:00:00"/>
    <x v="1"/>
    <s v="Tables"/>
    <s v="South"/>
    <s v="Consumer"/>
    <s v="Boston"/>
    <n v="7"/>
    <n v="0.3"/>
    <n v="976.35"/>
    <n v="153.88"/>
  </r>
  <r>
    <s v="ORD-10031"/>
    <d v="2025-09-13T00:00:00"/>
    <x v="0"/>
    <s v="Binders"/>
    <s v="West"/>
    <s v="Consumer"/>
    <s v="Boston"/>
    <n v="8"/>
    <n v="0"/>
    <n v="746.48"/>
    <n v="138.13"/>
  </r>
  <r>
    <s v="ORD-10252"/>
    <d v="2025-09-14T00:00:00"/>
    <x v="1"/>
    <s v="Tables"/>
    <s v="Central"/>
    <s v="Consumer"/>
    <s v="Los Angeles"/>
    <n v="1"/>
    <n v="0.1"/>
    <n v="185.29"/>
    <n v="7.14"/>
  </r>
  <r>
    <s v="ORD-10010"/>
    <d v="2025-09-14T00:00:00"/>
    <x v="0"/>
    <s v="Binders"/>
    <s v="East"/>
    <s v="Consumer"/>
    <s v="Dallas"/>
    <n v="7"/>
    <n v="0.3"/>
    <n v="575.54999999999995"/>
    <n v="43.49"/>
  </r>
  <r>
    <s v="ORD-10154"/>
    <d v="2025-09-15T00:00:00"/>
    <x v="1"/>
    <s v="Bookcases"/>
    <s v="East"/>
    <s v="Corporate"/>
    <s v="Dallas"/>
    <n v="7"/>
    <n v="0.15"/>
    <n v="1341.86"/>
    <n v="-63.53"/>
  </r>
  <r>
    <s v="ORD-10217"/>
    <d v="2025-09-20T00:00:00"/>
    <x v="1"/>
    <s v="Tables"/>
    <s v="West"/>
    <s v="Home Office"/>
    <s v="New York"/>
    <n v="1"/>
    <n v="0.2"/>
    <n v="187.15"/>
    <n v="21.67"/>
  </r>
  <r>
    <s v="ORD-10326"/>
    <d v="2025-09-20T00:00:00"/>
    <x v="0"/>
    <s v="Storage"/>
    <s v="Central"/>
    <s v="Home Office"/>
    <s v="Los Angeles"/>
    <n v="1"/>
    <n v="0.1"/>
    <n v="101.74"/>
    <n v="4.83"/>
  </r>
  <r>
    <s v="ORD-10078"/>
    <d v="2025-09-21T00:00:00"/>
    <x v="2"/>
    <s v="Computers"/>
    <s v="South"/>
    <s v="Corporate"/>
    <s v="New York"/>
    <n v="1"/>
    <n v="0"/>
    <n v="200.92"/>
    <n v="58.32"/>
  </r>
  <r>
    <s v="ORD-10180"/>
    <d v="2025-09-23T00:00:00"/>
    <x v="2"/>
    <s v="Computers"/>
    <s v="Central"/>
    <s v="Consumer"/>
    <s v="Los Angeles"/>
    <n v="5"/>
    <n v="0.1"/>
    <n v="993.81"/>
    <n v="200.07"/>
  </r>
  <r>
    <s v="ORD-10231"/>
    <d v="2025-09-25T00:00:00"/>
    <x v="0"/>
    <s v="Storage"/>
    <s v="East"/>
    <s v="Corporate"/>
    <s v="Houston"/>
    <n v="1"/>
    <n v="0.2"/>
    <n v="76.75"/>
    <n v="3.38"/>
  </r>
  <r>
    <s v="ORD-10458"/>
    <d v="2025-09-26T00:00:00"/>
    <x v="1"/>
    <s v="Bookcases"/>
    <s v="West"/>
    <s v="Consumer"/>
    <s v="Houston"/>
    <n v="1"/>
    <n v="0.05"/>
    <n v="167.29"/>
    <n v="46.5"/>
  </r>
  <r>
    <s v="ORD-10057"/>
    <d v="2025-10-01T00:00:00"/>
    <x v="2"/>
    <s v="Accessories"/>
    <s v="Central"/>
    <s v="Corporate"/>
    <s v="New York"/>
    <n v="2"/>
    <n v="0.15"/>
    <n v="543.13"/>
    <n v="60.25"/>
  </r>
  <r>
    <s v="ORD-10274"/>
    <d v="2025-10-02T00:00:00"/>
    <x v="0"/>
    <s v="Art"/>
    <s v="East"/>
    <s v="Consumer"/>
    <s v="Seattle"/>
    <n v="3"/>
    <n v="0.2"/>
    <n v="206.95"/>
    <n v="0.55000000000000004"/>
  </r>
  <r>
    <s v="ORD-10114"/>
    <d v="2025-10-04T00:00:00"/>
    <x v="0"/>
    <s v="Paper"/>
    <s v="South"/>
    <s v="Corporate"/>
    <s v="Atlanta"/>
    <n v="8"/>
    <n v="0.2"/>
    <n v="579.86"/>
    <n v="89.9"/>
  </r>
  <r>
    <s v="ORD-10111"/>
    <d v="2025-10-05T00:00:00"/>
    <x v="2"/>
    <s v="Accessories"/>
    <s v="West"/>
    <s v="Home Office"/>
    <s v="Atlanta"/>
    <n v="4"/>
    <n v="0.05"/>
    <n v="987.6"/>
    <n v="106.53"/>
  </r>
  <r>
    <s v="ORD-10221"/>
    <d v="2025-10-07T00:00:00"/>
    <x v="0"/>
    <s v="Storage"/>
    <s v="Central"/>
    <s v="Home Office"/>
    <s v="New York"/>
    <n v="4"/>
    <n v="0.2"/>
    <n v="246.67"/>
    <n v="41.71"/>
  </r>
  <r>
    <s v="ORD-10460"/>
    <d v="2025-10-10T00:00:00"/>
    <x v="2"/>
    <s v="Phones"/>
    <s v="Central"/>
    <s v="Corporate"/>
    <s v="Atlanta"/>
    <n v="7"/>
    <n v="0.15"/>
    <n v="1490.54"/>
    <n v="217.26"/>
  </r>
  <r>
    <s v="ORD-10313"/>
    <d v="2025-10-16T00:00:00"/>
    <x v="2"/>
    <s v="Accessories"/>
    <s v="West"/>
    <s v="Consumer"/>
    <s v="Los Angeles"/>
    <n v="5"/>
    <n v="0.1"/>
    <n v="1649.38"/>
    <n v="250.76"/>
  </r>
  <r>
    <s v="ORD-10420"/>
    <d v="2025-10-21T00:00:00"/>
    <x v="0"/>
    <s v="Binders"/>
    <s v="Central"/>
    <s v="Consumer"/>
    <s v="Boston"/>
    <n v="1"/>
    <n v="0.2"/>
    <n v="87.34"/>
    <n v="18.329999999999998"/>
  </r>
  <r>
    <s v="ORD-10037"/>
    <d v="2025-10-22T00:00:00"/>
    <x v="2"/>
    <s v="Computers"/>
    <s v="West"/>
    <s v="Corporate"/>
    <s v="Seattle"/>
    <n v="8"/>
    <n v="0.1"/>
    <n v="1266.1199999999999"/>
    <n v="103.57"/>
  </r>
  <r>
    <s v="ORD-10302"/>
    <d v="2025-10-22T00:00:00"/>
    <x v="1"/>
    <s v="Bookcases"/>
    <s v="East"/>
    <s v="Home Office"/>
    <s v="Seattle"/>
    <n v="2"/>
    <n v="0.1"/>
    <n v="217.33"/>
    <n v="50.62"/>
  </r>
  <r>
    <s v="ORD-10069"/>
    <d v="2025-10-23T00:00:00"/>
    <x v="2"/>
    <s v="Phones"/>
    <s v="South"/>
    <s v="Home Office"/>
    <s v="Boston"/>
    <n v="9"/>
    <n v="0.1"/>
    <n v="764.59"/>
    <n v="108.63"/>
  </r>
  <r>
    <s v="ORD-10253"/>
    <d v="2025-10-25T00:00:00"/>
    <x v="0"/>
    <s v="Paper"/>
    <s v="West"/>
    <s v="Corporate"/>
    <s v="Seattle"/>
    <n v="6"/>
    <n v="0.1"/>
    <n v="653.01"/>
    <n v="120.83"/>
  </r>
  <r>
    <s v="ORD-10060"/>
    <d v="2025-10-25T00:00:00"/>
    <x v="1"/>
    <s v="Bookcases"/>
    <s v="Central"/>
    <s v="Corporate"/>
    <s v="Houston"/>
    <n v="7"/>
    <n v="0.15"/>
    <n v="949.83"/>
    <n v="233.37"/>
  </r>
  <r>
    <s v="ORD-10397"/>
    <d v="2025-10-26T00:00:00"/>
    <x v="0"/>
    <s v="Paper"/>
    <s v="South"/>
    <s v="Corporate"/>
    <s v="Seattle"/>
    <n v="7"/>
    <n v="0.15"/>
    <n v="599.16999999999996"/>
    <n v="34.53"/>
  </r>
  <r>
    <s v="ORD-10198"/>
    <d v="2025-10-27T00:00:00"/>
    <x v="0"/>
    <s v="Storage"/>
    <s v="South"/>
    <s v="Consumer"/>
    <s v="Seattle"/>
    <n v="9"/>
    <n v="0.05"/>
    <n v="988.53"/>
    <n v="249.51"/>
  </r>
  <r>
    <s v="ORD-10070"/>
    <d v="2025-10-27T00:00:00"/>
    <x v="0"/>
    <s v="Binders"/>
    <s v="Central"/>
    <s v="Corporate"/>
    <s v="Houston"/>
    <n v="1"/>
    <n v="0.1"/>
    <n v="55.5"/>
    <n v="10.62"/>
  </r>
  <r>
    <s v="ORD-10045"/>
    <d v="2025-10-27T00:00:00"/>
    <x v="2"/>
    <s v="Phones"/>
    <s v="West"/>
    <s v="Consumer"/>
    <s v="Seattle"/>
    <n v="7"/>
    <n v="0.1"/>
    <n v="1372.02"/>
    <n v="-107.68"/>
  </r>
  <r>
    <s v="ORD-10092"/>
    <d v="2025-10-31T00:00:00"/>
    <x v="0"/>
    <s v="Storage"/>
    <s v="South"/>
    <s v="Home Office"/>
    <s v="New York"/>
    <n v="5"/>
    <n v="0.1"/>
    <n v="448.57"/>
    <n v="27.95"/>
  </r>
  <r>
    <s v="ORD-10393"/>
    <d v="2025-10-31T00:00:00"/>
    <x v="1"/>
    <s v="Chairs"/>
    <s v="East"/>
    <s v="Home Office"/>
    <s v="New York"/>
    <n v="8"/>
    <n v="0.05"/>
    <n v="1865.66"/>
    <n v="323.51"/>
  </r>
  <r>
    <s v="ORD-10150"/>
    <d v="2025-11-03T00:00:00"/>
    <x v="2"/>
    <s v="Phones"/>
    <s v="East"/>
    <s v="Home Office"/>
    <s v="Chicago"/>
    <n v="2"/>
    <n v="0.15"/>
    <n v="403.94"/>
    <n v="-21.93"/>
  </r>
  <r>
    <s v="ORD-10245"/>
    <d v="2025-11-06T00:00:00"/>
    <x v="2"/>
    <s v="Accessories"/>
    <s v="East"/>
    <s v="Corporate"/>
    <s v="Boston"/>
    <n v="4"/>
    <n v="0.1"/>
    <n v="168.69"/>
    <n v="24.9"/>
  </r>
  <r>
    <s v="ORD-10212"/>
    <d v="2025-11-07T00:00:00"/>
    <x v="0"/>
    <s v="Binders"/>
    <s v="West"/>
    <s v="Corporate"/>
    <s v="Houston"/>
    <n v="3"/>
    <n v="0.2"/>
    <n v="131.4"/>
    <n v="13.6"/>
  </r>
  <r>
    <s v="ORD-10110"/>
    <d v="2025-11-08T00:00:00"/>
    <x v="2"/>
    <s v="Computers"/>
    <s v="East"/>
    <s v="Consumer"/>
    <s v="Los Angeles"/>
    <n v="4"/>
    <n v="0.3"/>
    <n v="689.63"/>
    <n v="149.69"/>
  </r>
  <r>
    <s v="ORD-10012"/>
    <d v="2025-11-13T00:00:00"/>
    <x v="0"/>
    <s v="Paper"/>
    <s v="South"/>
    <s v="Consumer"/>
    <s v="Houston"/>
    <n v="3"/>
    <n v="0"/>
    <n v="199.59"/>
    <n v="27.12"/>
  </r>
  <r>
    <s v="ORD-10227"/>
    <d v="2025-11-15T00:00:00"/>
    <x v="0"/>
    <s v="Storage"/>
    <s v="South"/>
    <s v="Home Office"/>
    <s v="Los Angeles"/>
    <n v="7"/>
    <n v="0.2"/>
    <n v="465.36"/>
    <n v="-16.47"/>
  </r>
  <r>
    <s v="ORD-10329"/>
    <d v="2025-11-18T00:00:00"/>
    <x v="1"/>
    <s v="Chairs"/>
    <s v="South"/>
    <s v="Corporate"/>
    <s v="New York"/>
    <n v="8"/>
    <n v="0.1"/>
    <n v="1428.75"/>
    <n v="158.22"/>
  </r>
  <r>
    <s v="ORD-10480"/>
    <d v="2025-11-18T00:00:00"/>
    <x v="1"/>
    <s v="Chairs"/>
    <s v="South"/>
    <s v="Home Office"/>
    <s v="Seattle"/>
    <n v="6"/>
    <n v="0.1"/>
    <n v="1073.98"/>
    <n v="194.55"/>
  </r>
  <r>
    <s v="ORD-10436"/>
    <d v="2025-11-19T00:00:00"/>
    <x v="0"/>
    <s v="Storage"/>
    <s v="West"/>
    <s v="Corporate"/>
    <s v="Houston"/>
    <n v="2"/>
    <n v="0.15"/>
    <n v="136.22999999999999"/>
    <n v="21.59"/>
  </r>
  <r>
    <s v="ORD-10388"/>
    <d v="2025-11-19T00:00:00"/>
    <x v="2"/>
    <s v="Computers"/>
    <s v="East"/>
    <s v="Consumer"/>
    <s v="Houston"/>
    <n v="8"/>
    <n v="0.1"/>
    <n v="2262.41"/>
    <n v="439.5"/>
  </r>
  <r>
    <s v="ORD-10076"/>
    <d v="2025-11-19T00:00:00"/>
    <x v="0"/>
    <s v="Binders"/>
    <s v="South"/>
    <s v="Corporate"/>
    <s v="Atlanta"/>
    <n v="6"/>
    <n v="0.15"/>
    <n v="621.28"/>
    <n v="103.51"/>
  </r>
  <r>
    <s v="ORD-10443"/>
    <d v="2025-11-20T00:00:00"/>
    <x v="1"/>
    <s v="Tables"/>
    <s v="South"/>
    <s v="Corporate"/>
    <s v="Dallas"/>
    <n v="4"/>
    <n v="0.3"/>
    <n v="659.98"/>
    <n v="-16.829999999999998"/>
  </r>
  <r>
    <s v="ORD-10237"/>
    <d v="2025-11-23T00:00:00"/>
    <x v="2"/>
    <s v="Phones"/>
    <s v="South"/>
    <s v="Corporate"/>
    <s v="Chicago"/>
    <n v="9"/>
    <n v="0.05"/>
    <n v="1782.37"/>
    <n v="313.3"/>
  </r>
  <r>
    <s v="ORD-10378"/>
    <d v="2025-11-27T00:00:00"/>
    <x v="2"/>
    <s v="Computers"/>
    <s v="Central"/>
    <s v="Consumer"/>
    <s v="Seattle"/>
    <n v="8"/>
    <n v="0"/>
    <n v="2994.9"/>
    <n v="567.74"/>
  </r>
  <r>
    <s v="ORD-10489"/>
    <d v="2025-11-28T00:00:00"/>
    <x v="0"/>
    <s v="Art"/>
    <s v="West"/>
    <s v="Home Office"/>
    <s v="Chicago"/>
    <n v="4"/>
    <n v="0.1"/>
    <n v="369.66"/>
    <n v="29.52"/>
  </r>
  <r>
    <s v="ORD-10158"/>
    <d v="2025-11-30T00:00:00"/>
    <x v="0"/>
    <s v="Storage"/>
    <s v="Central"/>
    <s v="Home Office"/>
    <s v="Chicago"/>
    <n v="8"/>
    <n v="0.1"/>
    <n v="716.63"/>
    <n v="42.54"/>
  </r>
  <r>
    <s v="ORD-10082"/>
    <d v="2025-12-01T00:00:00"/>
    <x v="0"/>
    <s v="Art"/>
    <s v="South"/>
    <s v="Consumer"/>
    <s v="Boston"/>
    <n v="9"/>
    <n v="0"/>
    <n v="673.84"/>
    <n v="136.27000000000001"/>
  </r>
  <r>
    <s v="ORD-10230"/>
    <d v="2025-12-02T00:00:00"/>
    <x v="0"/>
    <s v="Storage"/>
    <s v="South"/>
    <s v="Consumer"/>
    <s v="Boston"/>
    <n v="4"/>
    <n v="0.05"/>
    <n v="243.87"/>
    <n v="27.8"/>
  </r>
  <r>
    <s v="ORD-10236"/>
    <d v="2025-12-05T00:00:00"/>
    <x v="0"/>
    <s v="Art"/>
    <s v="West"/>
    <s v="Corporate"/>
    <s v="Atlanta"/>
    <n v="4"/>
    <n v="0.2"/>
    <n v="158.15"/>
    <n v="16.73"/>
  </r>
  <r>
    <s v="ORD-10399"/>
    <d v="2025-12-05T00:00:00"/>
    <x v="0"/>
    <s v="Binders"/>
    <s v="South"/>
    <s v="Corporate"/>
    <s v="Chicago"/>
    <n v="7"/>
    <n v="0.15"/>
    <n v="407.59"/>
    <n v="2.6"/>
  </r>
  <r>
    <s v="ORD-10164"/>
    <d v="2025-12-07T00:00:00"/>
    <x v="1"/>
    <s v="Chairs"/>
    <s v="West"/>
    <s v="Consumer"/>
    <s v="Atlanta"/>
    <n v="5"/>
    <n v="0.1"/>
    <n v="894.44"/>
    <n v="65.94"/>
  </r>
  <r>
    <s v="ORD-10161"/>
    <d v="2025-12-09T00:00:00"/>
    <x v="1"/>
    <s v="Bookcases"/>
    <s v="Central"/>
    <s v="Corporate"/>
    <s v="Seattle"/>
    <n v="1"/>
    <n v="0.15"/>
    <n v="108.32"/>
    <n v="-0.39"/>
  </r>
  <r>
    <s v="ORD-10307"/>
    <d v="2025-12-10T00:00:00"/>
    <x v="1"/>
    <s v="Bookcases"/>
    <s v="West"/>
    <s v="Consumer"/>
    <s v="New York"/>
    <n v="7"/>
    <n v="0.15"/>
    <n v="1469.88"/>
    <n v="-176.35"/>
  </r>
  <r>
    <s v="ORD-10407"/>
    <d v="2025-12-10T00:00:00"/>
    <x v="1"/>
    <s v="Chairs"/>
    <s v="South"/>
    <s v="Corporate"/>
    <s v="Atlanta"/>
    <n v="1"/>
    <n v="0.05"/>
    <n v="193.31"/>
    <n v="29.53"/>
  </r>
  <r>
    <s v="ORD-10063"/>
    <d v="2025-12-10T00:00:00"/>
    <x v="0"/>
    <s v="Binders"/>
    <s v="West"/>
    <s v="Consumer"/>
    <s v="Seattle"/>
    <n v="1"/>
    <n v="0"/>
    <n v="83.69"/>
    <n v="7.51"/>
  </r>
  <r>
    <s v="ORD-10416"/>
    <d v="2025-12-11T00:00:00"/>
    <x v="1"/>
    <s v="Tables"/>
    <s v="Central"/>
    <s v="Corporate"/>
    <s v="Houston"/>
    <n v="2"/>
    <n v="0.1"/>
    <n v="280.60000000000002"/>
    <n v="11.85"/>
  </r>
  <r>
    <s v="ORD-10320"/>
    <d v="2025-12-11T00:00:00"/>
    <x v="2"/>
    <s v="Computers"/>
    <s v="South"/>
    <s v="Corporate"/>
    <s v="New York"/>
    <n v="9"/>
    <n v="0.05"/>
    <n v="1633.98"/>
    <n v="136.24"/>
  </r>
  <r>
    <s v="ORD-10271"/>
    <d v="2025-12-13T00:00:00"/>
    <x v="0"/>
    <s v="Art"/>
    <s v="South"/>
    <s v="Consumer"/>
    <s v="New York"/>
    <n v="9"/>
    <n v="0"/>
    <n v="833.07"/>
    <n v="202.06"/>
  </r>
  <r>
    <s v="ORD-10178"/>
    <d v="2025-12-14T00:00:00"/>
    <x v="1"/>
    <s v="Tables"/>
    <s v="South"/>
    <s v="Home Office"/>
    <s v="New York"/>
    <n v="6"/>
    <n v="0.15"/>
    <n v="1327.65"/>
    <n v="39.82"/>
  </r>
  <r>
    <s v="ORD-10184"/>
    <d v="2025-12-21T00:00:00"/>
    <x v="0"/>
    <s v="Binders"/>
    <s v="East"/>
    <s v="Home Office"/>
    <s v="New York"/>
    <n v="4"/>
    <n v="0.1"/>
    <n v="218.17"/>
    <n v="21.66"/>
  </r>
  <r>
    <s v="ORD-10357"/>
    <d v="2025-12-22T00:00:00"/>
    <x v="2"/>
    <s v="Computers"/>
    <s v="South"/>
    <s v="Home Office"/>
    <s v="Houston"/>
    <n v="6"/>
    <n v="0.2"/>
    <n v="682.78"/>
    <n v="106.42"/>
  </r>
  <r>
    <s v="ORD-10089"/>
    <d v="2025-12-23T00:00:00"/>
    <x v="0"/>
    <s v="Paper"/>
    <s v="East"/>
    <s v="Consumer"/>
    <s v="Atlanta"/>
    <n v="6"/>
    <n v="0.1"/>
    <n v="376.59"/>
    <n v="5.44"/>
  </r>
  <r>
    <s v="ORD-10026"/>
    <d v="2025-12-26T00:00:00"/>
    <x v="0"/>
    <s v="Binders"/>
    <s v="West"/>
    <s v="Consumer"/>
    <s v="Boston"/>
    <n v="8"/>
    <n v="0.1"/>
    <n v="474.28"/>
    <n v="13.09"/>
  </r>
  <r>
    <s v="ORD-10182"/>
    <d v="2025-12-27T00:00:00"/>
    <x v="2"/>
    <s v="Computers"/>
    <s v="South"/>
    <s v="Home Office"/>
    <s v="Los Angeles"/>
    <n v="3"/>
    <n v="0.1"/>
    <n v="106.26"/>
    <n v="21.89"/>
  </r>
  <r>
    <s v="ORD-10331"/>
    <d v="2025-12-27T00:00:00"/>
    <x v="1"/>
    <s v="Tables"/>
    <s v="West"/>
    <s v="Corporate"/>
    <s v="Seattle"/>
    <n v="9"/>
    <n v="0.05"/>
    <n v="1502.91"/>
    <n v="1.42"/>
  </r>
  <r>
    <s v="ORD-10203"/>
    <d v="2025-12-27T00:00:00"/>
    <x v="2"/>
    <s v="Accessories"/>
    <s v="Central"/>
    <s v="Home Office"/>
    <s v="Los Angeles"/>
    <n v="3"/>
    <n v="0.15"/>
    <n v="971.97"/>
    <n v="109.68"/>
  </r>
  <r>
    <s v="ORD-10304"/>
    <d v="2025-12-27T00:00:00"/>
    <x v="0"/>
    <s v="Storage"/>
    <s v="Central"/>
    <s v="Corporate"/>
    <s v="Dallas"/>
    <n v="6"/>
    <n v="0.1"/>
    <n v="519.25"/>
    <n v="59.29"/>
  </r>
  <r>
    <s v="ORD-10435"/>
    <d v="2025-12-27T00:00:00"/>
    <x v="2"/>
    <s v="Accessories"/>
    <s v="Central"/>
    <s v="Consumer"/>
    <s v="Seattle"/>
    <n v="3"/>
    <n v="0.1"/>
    <n v="626.66"/>
    <n v="137.35"/>
  </r>
  <r>
    <s v="ORD-10222"/>
    <d v="2025-12-31T00:00:00"/>
    <x v="1"/>
    <s v="Tables"/>
    <s v="West"/>
    <s v="Consumer"/>
    <s v="New York"/>
    <n v="2"/>
    <n v="0.15"/>
    <n v="389.51"/>
    <n v="51.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04266-9893-499B-90BF-BB95CE974AE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B14:C18" firstHeaderRow="1" firstDataRow="1" firstDataCol="1"/>
  <pivotFields count="11">
    <pivotField showAll="0"/>
    <pivotField numFmtId="14"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1902-09A9-4D2B-AE2D-5EA102909B2B}">
  <dimension ref="A1:K501"/>
  <sheetViews>
    <sheetView tabSelected="1" workbookViewId="0">
      <selection activeCell="O15" sqref="O15"/>
    </sheetView>
  </sheetViews>
  <sheetFormatPr defaultRowHeight="14.4" x14ac:dyDescent="0.3"/>
  <cols>
    <col min="1" max="2" width="10.33203125" bestFit="1" customWidth="1"/>
    <col min="3" max="3" width="13.109375" bestFit="1" customWidth="1"/>
    <col min="4" max="4" width="11.88671875" bestFit="1" customWidth="1"/>
    <col min="5" max="5" width="6.88671875" bestFit="1" customWidth="1"/>
    <col min="6" max="6" width="11.109375" bestFit="1" customWidth="1"/>
    <col min="7" max="7" width="10.44140625" bestFit="1" customWidth="1"/>
    <col min="8" max="8" width="7.6640625" bestFit="1" customWidth="1"/>
    <col min="9" max="9" width="8.109375" bestFit="1" customWidth="1"/>
    <col min="10" max="10" width="8" bestFit="1" customWidth="1"/>
    <col min="11" max="11" width="7.66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1">
        <v>45292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</v>
      </c>
      <c r="I2">
        <v>0.15</v>
      </c>
      <c r="J2">
        <v>455.15</v>
      </c>
      <c r="K2">
        <v>21.65</v>
      </c>
    </row>
    <row r="3" spans="1:11" x14ac:dyDescent="0.3">
      <c r="A3" t="s">
        <v>17</v>
      </c>
      <c r="B3" s="1">
        <v>45294</v>
      </c>
      <c r="C3" t="s">
        <v>12</v>
      </c>
      <c r="D3" t="s">
        <v>13</v>
      </c>
      <c r="E3" t="s">
        <v>18</v>
      </c>
      <c r="F3" t="s">
        <v>15</v>
      </c>
      <c r="G3" t="s">
        <v>19</v>
      </c>
      <c r="H3">
        <v>6</v>
      </c>
      <c r="I3">
        <v>0.2</v>
      </c>
      <c r="J3">
        <v>525.74</v>
      </c>
      <c r="K3">
        <v>40.54</v>
      </c>
    </row>
    <row r="4" spans="1:11" x14ac:dyDescent="0.3">
      <c r="A4" t="s">
        <v>20</v>
      </c>
      <c r="B4" s="1">
        <v>45294</v>
      </c>
      <c r="C4" t="s">
        <v>12</v>
      </c>
      <c r="D4" t="s">
        <v>21</v>
      </c>
      <c r="E4" t="s">
        <v>14</v>
      </c>
      <c r="F4" t="s">
        <v>15</v>
      </c>
      <c r="G4" t="s">
        <v>19</v>
      </c>
      <c r="H4">
        <v>5</v>
      </c>
      <c r="I4">
        <v>0.05</v>
      </c>
      <c r="J4">
        <v>552.55999999999995</v>
      </c>
      <c r="K4">
        <v>41.78</v>
      </c>
    </row>
    <row r="5" spans="1:11" x14ac:dyDescent="0.3">
      <c r="A5" t="s">
        <v>22</v>
      </c>
      <c r="B5" s="1">
        <v>45295</v>
      </c>
      <c r="C5" t="s">
        <v>12</v>
      </c>
      <c r="D5" t="s">
        <v>13</v>
      </c>
      <c r="E5" t="s">
        <v>23</v>
      </c>
      <c r="F5" t="s">
        <v>15</v>
      </c>
      <c r="G5" t="s">
        <v>24</v>
      </c>
      <c r="H5">
        <v>2</v>
      </c>
      <c r="I5">
        <v>0.15</v>
      </c>
      <c r="J5">
        <v>135.9</v>
      </c>
      <c r="K5">
        <v>-5.0199999999999996</v>
      </c>
    </row>
    <row r="6" spans="1:11" x14ac:dyDescent="0.3">
      <c r="A6" t="s">
        <v>25</v>
      </c>
      <c r="B6" s="1">
        <v>45298</v>
      </c>
      <c r="C6" t="s">
        <v>26</v>
      </c>
      <c r="D6" t="s">
        <v>27</v>
      </c>
      <c r="E6" t="s">
        <v>23</v>
      </c>
      <c r="F6" t="s">
        <v>28</v>
      </c>
      <c r="G6" t="s">
        <v>16</v>
      </c>
      <c r="H6">
        <v>9</v>
      </c>
      <c r="I6">
        <v>0.15</v>
      </c>
      <c r="J6">
        <v>2003.52</v>
      </c>
      <c r="K6">
        <v>176.06</v>
      </c>
    </row>
    <row r="7" spans="1:11" x14ac:dyDescent="0.3">
      <c r="A7" t="s">
        <v>29</v>
      </c>
      <c r="B7" s="1">
        <v>45299</v>
      </c>
      <c r="C7" t="s">
        <v>30</v>
      </c>
      <c r="D7" t="s">
        <v>31</v>
      </c>
      <c r="E7" t="s">
        <v>23</v>
      </c>
      <c r="F7" t="s">
        <v>15</v>
      </c>
      <c r="G7" t="s">
        <v>32</v>
      </c>
      <c r="H7">
        <v>8</v>
      </c>
      <c r="I7">
        <v>0.15</v>
      </c>
      <c r="J7">
        <v>2955.97</v>
      </c>
      <c r="K7">
        <v>522.12</v>
      </c>
    </row>
    <row r="8" spans="1:11" x14ac:dyDescent="0.3">
      <c r="A8" t="s">
        <v>33</v>
      </c>
      <c r="B8" s="1">
        <v>45302</v>
      </c>
      <c r="C8" t="s">
        <v>12</v>
      </c>
      <c r="D8" t="s">
        <v>34</v>
      </c>
      <c r="E8" t="s">
        <v>23</v>
      </c>
      <c r="F8" t="s">
        <v>35</v>
      </c>
      <c r="G8" t="s">
        <v>24</v>
      </c>
      <c r="H8">
        <v>5</v>
      </c>
      <c r="I8">
        <v>0.1</v>
      </c>
      <c r="J8">
        <v>62.14</v>
      </c>
      <c r="K8">
        <v>8.17</v>
      </c>
    </row>
    <row r="9" spans="1:11" x14ac:dyDescent="0.3">
      <c r="A9" t="s">
        <v>36</v>
      </c>
      <c r="B9" s="1">
        <v>45302</v>
      </c>
      <c r="C9" t="s">
        <v>12</v>
      </c>
      <c r="D9" t="s">
        <v>21</v>
      </c>
      <c r="E9" t="s">
        <v>14</v>
      </c>
      <c r="F9" t="s">
        <v>28</v>
      </c>
      <c r="G9" t="s">
        <v>24</v>
      </c>
      <c r="H9">
        <v>7</v>
      </c>
      <c r="I9">
        <v>0.2</v>
      </c>
      <c r="J9">
        <v>464.28</v>
      </c>
      <c r="K9">
        <v>24.48</v>
      </c>
    </row>
    <row r="10" spans="1:11" x14ac:dyDescent="0.3">
      <c r="A10" t="s">
        <v>37</v>
      </c>
      <c r="B10" s="1">
        <v>45303</v>
      </c>
      <c r="C10" t="s">
        <v>12</v>
      </c>
      <c r="D10" t="s">
        <v>34</v>
      </c>
      <c r="E10" t="s">
        <v>18</v>
      </c>
      <c r="F10" t="s">
        <v>15</v>
      </c>
      <c r="G10" t="s">
        <v>38</v>
      </c>
      <c r="H10">
        <v>9</v>
      </c>
      <c r="I10">
        <v>0</v>
      </c>
      <c r="J10">
        <v>825.55</v>
      </c>
      <c r="K10">
        <v>98.94</v>
      </c>
    </row>
    <row r="11" spans="1:11" x14ac:dyDescent="0.3">
      <c r="A11" t="s">
        <v>39</v>
      </c>
      <c r="B11" s="1">
        <v>45307</v>
      </c>
      <c r="C11" t="s">
        <v>30</v>
      </c>
      <c r="D11" t="s">
        <v>40</v>
      </c>
      <c r="E11" t="s">
        <v>14</v>
      </c>
      <c r="F11" t="s">
        <v>15</v>
      </c>
      <c r="G11" t="s">
        <v>38</v>
      </c>
      <c r="H11">
        <v>9</v>
      </c>
      <c r="I11">
        <v>0.05</v>
      </c>
      <c r="J11">
        <v>1466.4</v>
      </c>
      <c r="K11">
        <v>77.62</v>
      </c>
    </row>
    <row r="12" spans="1:11" x14ac:dyDescent="0.3">
      <c r="A12" t="s">
        <v>41</v>
      </c>
      <c r="B12" s="1">
        <v>45307</v>
      </c>
      <c r="C12" t="s">
        <v>12</v>
      </c>
      <c r="D12" t="s">
        <v>13</v>
      </c>
      <c r="E12" t="s">
        <v>18</v>
      </c>
      <c r="F12" t="s">
        <v>15</v>
      </c>
      <c r="G12" t="s">
        <v>32</v>
      </c>
      <c r="H12">
        <v>6</v>
      </c>
      <c r="I12">
        <v>0.05</v>
      </c>
      <c r="J12">
        <v>280.56</v>
      </c>
      <c r="K12">
        <v>61.49</v>
      </c>
    </row>
    <row r="13" spans="1:11" x14ac:dyDescent="0.3">
      <c r="A13" t="s">
        <v>42</v>
      </c>
      <c r="B13" s="1">
        <v>45308</v>
      </c>
      <c r="C13" t="s">
        <v>26</v>
      </c>
      <c r="D13" t="s">
        <v>43</v>
      </c>
      <c r="E13" t="s">
        <v>44</v>
      </c>
      <c r="F13" t="s">
        <v>15</v>
      </c>
      <c r="G13" t="s">
        <v>32</v>
      </c>
      <c r="H13">
        <v>9</v>
      </c>
      <c r="I13">
        <v>0.2</v>
      </c>
      <c r="J13">
        <v>987.12</v>
      </c>
      <c r="K13">
        <v>69.78</v>
      </c>
    </row>
    <row r="14" spans="1:11" x14ac:dyDescent="0.3">
      <c r="A14" t="s">
        <v>45</v>
      </c>
      <c r="B14" s="1">
        <v>45308</v>
      </c>
      <c r="C14" t="s">
        <v>12</v>
      </c>
      <c r="D14" t="s">
        <v>46</v>
      </c>
      <c r="E14" t="s">
        <v>14</v>
      </c>
      <c r="F14" t="s">
        <v>28</v>
      </c>
      <c r="G14" t="s">
        <v>47</v>
      </c>
      <c r="H14">
        <v>4</v>
      </c>
      <c r="I14">
        <v>0.15</v>
      </c>
      <c r="J14">
        <v>343.31</v>
      </c>
      <c r="K14">
        <v>35.520000000000003</v>
      </c>
    </row>
    <row r="15" spans="1:11" x14ac:dyDescent="0.3">
      <c r="A15" t="s">
        <v>48</v>
      </c>
      <c r="B15" s="1">
        <v>45308</v>
      </c>
      <c r="C15" t="s">
        <v>12</v>
      </c>
      <c r="D15" t="s">
        <v>13</v>
      </c>
      <c r="E15" t="s">
        <v>23</v>
      </c>
      <c r="F15" t="s">
        <v>28</v>
      </c>
      <c r="G15" t="s">
        <v>19</v>
      </c>
      <c r="H15">
        <v>3</v>
      </c>
      <c r="I15">
        <v>0.15</v>
      </c>
      <c r="J15">
        <v>201.22</v>
      </c>
      <c r="K15">
        <v>33.5</v>
      </c>
    </row>
    <row r="16" spans="1:11" x14ac:dyDescent="0.3">
      <c r="A16" t="s">
        <v>49</v>
      </c>
      <c r="B16" s="1">
        <v>45309</v>
      </c>
      <c r="C16" t="s">
        <v>30</v>
      </c>
      <c r="D16" t="s">
        <v>50</v>
      </c>
      <c r="E16" t="s">
        <v>23</v>
      </c>
      <c r="F16" t="s">
        <v>28</v>
      </c>
      <c r="G16" t="s">
        <v>24</v>
      </c>
      <c r="H16">
        <v>6</v>
      </c>
      <c r="I16">
        <v>0.3</v>
      </c>
      <c r="J16">
        <v>865.12</v>
      </c>
      <c r="K16">
        <v>72.48</v>
      </c>
    </row>
    <row r="17" spans="1:11" x14ac:dyDescent="0.3">
      <c r="A17" t="s">
        <v>51</v>
      </c>
      <c r="B17" s="1">
        <v>45310</v>
      </c>
      <c r="C17" t="s">
        <v>30</v>
      </c>
      <c r="D17" t="s">
        <v>50</v>
      </c>
      <c r="E17" t="s">
        <v>23</v>
      </c>
      <c r="F17" t="s">
        <v>28</v>
      </c>
      <c r="G17" t="s">
        <v>24</v>
      </c>
      <c r="H17">
        <v>7</v>
      </c>
      <c r="I17">
        <v>0.1</v>
      </c>
      <c r="J17">
        <v>1691.73</v>
      </c>
      <c r="K17">
        <v>429.6</v>
      </c>
    </row>
    <row r="18" spans="1:11" x14ac:dyDescent="0.3">
      <c r="A18" t="s">
        <v>52</v>
      </c>
      <c r="B18" s="1">
        <v>45311</v>
      </c>
      <c r="C18" t="s">
        <v>12</v>
      </c>
      <c r="D18" t="s">
        <v>34</v>
      </c>
      <c r="E18" t="s">
        <v>23</v>
      </c>
      <c r="F18" t="s">
        <v>28</v>
      </c>
      <c r="G18" t="s">
        <v>53</v>
      </c>
      <c r="H18">
        <v>9</v>
      </c>
      <c r="I18">
        <v>0</v>
      </c>
      <c r="J18">
        <v>303.60000000000002</v>
      </c>
      <c r="K18">
        <v>31.08</v>
      </c>
    </row>
    <row r="19" spans="1:11" x14ac:dyDescent="0.3">
      <c r="A19" t="s">
        <v>54</v>
      </c>
      <c r="B19" s="1">
        <v>45314</v>
      </c>
      <c r="C19" t="s">
        <v>26</v>
      </c>
      <c r="D19" t="s">
        <v>55</v>
      </c>
      <c r="E19" t="s">
        <v>44</v>
      </c>
      <c r="F19" t="s">
        <v>35</v>
      </c>
      <c r="G19" t="s">
        <v>19</v>
      </c>
      <c r="H19">
        <v>5</v>
      </c>
      <c r="I19">
        <v>0.2</v>
      </c>
      <c r="J19">
        <v>1064.44</v>
      </c>
      <c r="K19">
        <v>57.98</v>
      </c>
    </row>
    <row r="20" spans="1:11" x14ac:dyDescent="0.3">
      <c r="A20" t="s">
        <v>56</v>
      </c>
      <c r="B20" s="1">
        <v>45316</v>
      </c>
      <c r="C20" t="s">
        <v>26</v>
      </c>
      <c r="D20" t="s">
        <v>27</v>
      </c>
      <c r="E20" t="s">
        <v>14</v>
      </c>
      <c r="F20" t="s">
        <v>35</v>
      </c>
      <c r="G20" t="s">
        <v>38</v>
      </c>
      <c r="H20">
        <v>5</v>
      </c>
      <c r="I20">
        <v>0.1</v>
      </c>
      <c r="J20">
        <v>1114.8699999999999</v>
      </c>
      <c r="K20">
        <v>115.84</v>
      </c>
    </row>
    <row r="21" spans="1:11" x14ac:dyDescent="0.3">
      <c r="A21" t="s">
        <v>57</v>
      </c>
      <c r="B21" s="1">
        <v>45316</v>
      </c>
      <c r="C21" t="s">
        <v>12</v>
      </c>
      <c r="D21" t="s">
        <v>46</v>
      </c>
      <c r="E21" t="s">
        <v>44</v>
      </c>
      <c r="F21" t="s">
        <v>28</v>
      </c>
      <c r="G21" t="s">
        <v>47</v>
      </c>
      <c r="H21">
        <v>9</v>
      </c>
      <c r="I21">
        <v>0.05</v>
      </c>
      <c r="J21">
        <v>502.7</v>
      </c>
      <c r="K21">
        <v>165.47</v>
      </c>
    </row>
    <row r="22" spans="1:11" x14ac:dyDescent="0.3">
      <c r="A22" t="s">
        <v>58</v>
      </c>
      <c r="B22" s="1">
        <v>45318</v>
      </c>
      <c r="C22" t="s">
        <v>12</v>
      </c>
      <c r="D22" t="s">
        <v>46</v>
      </c>
      <c r="E22" t="s">
        <v>44</v>
      </c>
      <c r="F22" t="s">
        <v>35</v>
      </c>
      <c r="G22" t="s">
        <v>24</v>
      </c>
      <c r="H22">
        <v>3</v>
      </c>
      <c r="I22">
        <v>0.1</v>
      </c>
      <c r="J22">
        <v>200.21</v>
      </c>
      <c r="K22">
        <v>36.19</v>
      </c>
    </row>
    <row r="23" spans="1:11" x14ac:dyDescent="0.3">
      <c r="A23" t="s">
        <v>59</v>
      </c>
      <c r="B23" s="1">
        <v>45320</v>
      </c>
      <c r="C23" t="s">
        <v>30</v>
      </c>
      <c r="D23" t="s">
        <v>40</v>
      </c>
      <c r="E23" t="s">
        <v>18</v>
      </c>
      <c r="F23" t="s">
        <v>15</v>
      </c>
      <c r="G23" t="s">
        <v>32</v>
      </c>
      <c r="H23">
        <v>3</v>
      </c>
      <c r="I23">
        <v>0.3</v>
      </c>
      <c r="J23">
        <v>544.51</v>
      </c>
      <c r="K23">
        <v>49.25</v>
      </c>
    </row>
    <row r="24" spans="1:11" x14ac:dyDescent="0.3">
      <c r="A24" t="s">
        <v>60</v>
      </c>
      <c r="B24" s="1">
        <v>45320</v>
      </c>
      <c r="C24" t="s">
        <v>30</v>
      </c>
      <c r="D24" t="s">
        <v>40</v>
      </c>
      <c r="E24" t="s">
        <v>44</v>
      </c>
      <c r="F24" t="s">
        <v>35</v>
      </c>
      <c r="G24" t="s">
        <v>16</v>
      </c>
      <c r="H24">
        <v>8</v>
      </c>
      <c r="I24">
        <v>0.2</v>
      </c>
      <c r="J24">
        <v>2478.6</v>
      </c>
      <c r="K24">
        <v>-34.68</v>
      </c>
    </row>
    <row r="25" spans="1:11" x14ac:dyDescent="0.3">
      <c r="A25" t="s">
        <v>61</v>
      </c>
      <c r="B25" s="1">
        <v>45320</v>
      </c>
      <c r="C25" t="s">
        <v>12</v>
      </c>
      <c r="D25" t="s">
        <v>13</v>
      </c>
      <c r="E25" t="s">
        <v>18</v>
      </c>
      <c r="F25" t="s">
        <v>28</v>
      </c>
      <c r="G25" t="s">
        <v>32</v>
      </c>
      <c r="H25">
        <v>1</v>
      </c>
      <c r="I25">
        <v>0.2</v>
      </c>
      <c r="J25">
        <v>36.479999999999997</v>
      </c>
      <c r="K25">
        <v>5.79</v>
      </c>
    </row>
    <row r="26" spans="1:11" x14ac:dyDescent="0.3">
      <c r="A26" t="s">
        <v>62</v>
      </c>
      <c r="B26" s="1">
        <v>45320</v>
      </c>
      <c r="C26" t="s">
        <v>12</v>
      </c>
      <c r="D26" t="s">
        <v>46</v>
      </c>
      <c r="E26" t="s">
        <v>23</v>
      </c>
      <c r="F26" t="s">
        <v>35</v>
      </c>
      <c r="G26" t="s">
        <v>19</v>
      </c>
      <c r="H26">
        <v>8</v>
      </c>
      <c r="I26">
        <v>0</v>
      </c>
      <c r="J26">
        <v>665.45</v>
      </c>
      <c r="K26">
        <v>99.5</v>
      </c>
    </row>
    <row r="27" spans="1:11" x14ac:dyDescent="0.3">
      <c r="A27" t="s">
        <v>63</v>
      </c>
      <c r="B27" s="1">
        <v>45323</v>
      </c>
      <c r="C27" t="s">
        <v>30</v>
      </c>
      <c r="D27" t="s">
        <v>31</v>
      </c>
      <c r="E27" t="s">
        <v>14</v>
      </c>
      <c r="F27" t="s">
        <v>35</v>
      </c>
      <c r="G27" t="s">
        <v>32</v>
      </c>
      <c r="H27">
        <v>1</v>
      </c>
      <c r="I27">
        <v>0.2</v>
      </c>
      <c r="J27">
        <v>192.14</v>
      </c>
      <c r="K27">
        <v>1.93</v>
      </c>
    </row>
    <row r="28" spans="1:11" x14ac:dyDescent="0.3">
      <c r="A28" t="s">
        <v>64</v>
      </c>
      <c r="B28" s="1">
        <v>45325</v>
      </c>
      <c r="C28" t="s">
        <v>30</v>
      </c>
      <c r="D28" t="s">
        <v>50</v>
      </c>
      <c r="E28" t="s">
        <v>18</v>
      </c>
      <c r="F28" t="s">
        <v>28</v>
      </c>
      <c r="G28" t="s">
        <v>32</v>
      </c>
      <c r="H28">
        <v>2</v>
      </c>
      <c r="I28">
        <v>0</v>
      </c>
      <c r="J28">
        <v>494.65</v>
      </c>
      <c r="K28">
        <v>67.010000000000005</v>
      </c>
    </row>
    <row r="29" spans="1:11" x14ac:dyDescent="0.3">
      <c r="A29" t="s">
        <v>65</v>
      </c>
      <c r="B29" s="1">
        <v>45328</v>
      </c>
      <c r="C29" t="s">
        <v>26</v>
      </c>
      <c r="D29" t="s">
        <v>27</v>
      </c>
      <c r="E29" t="s">
        <v>23</v>
      </c>
      <c r="F29" t="s">
        <v>28</v>
      </c>
      <c r="G29" t="s">
        <v>24</v>
      </c>
      <c r="H29">
        <v>8</v>
      </c>
      <c r="I29">
        <v>0</v>
      </c>
      <c r="J29">
        <v>1801.72</v>
      </c>
      <c r="K29">
        <v>241.13</v>
      </c>
    </row>
    <row r="30" spans="1:11" x14ac:dyDescent="0.3">
      <c r="A30" t="s">
        <v>66</v>
      </c>
      <c r="B30" s="1">
        <v>45329</v>
      </c>
      <c r="C30" t="s">
        <v>12</v>
      </c>
      <c r="D30" t="s">
        <v>13</v>
      </c>
      <c r="E30" t="s">
        <v>18</v>
      </c>
      <c r="F30" t="s">
        <v>35</v>
      </c>
      <c r="G30" t="s">
        <v>32</v>
      </c>
      <c r="H30">
        <v>6</v>
      </c>
      <c r="I30">
        <v>0.2</v>
      </c>
      <c r="J30">
        <v>684.56</v>
      </c>
      <c r="K30">
        <v>79.22</v>
      </c>
    </row>
    <row r="31" spans="1:11" x14ac:dyDescent="0.3">
      <c r="A31" t="s">
        <v>67</v>
      </c>
      <c r="B31" s="1">
        <v>45330</v>
      </c>
      <c r="C31" t="s">
        <v>12</v>
      </c>
      <c r="D31" t="s">
        <v>21</v>
      </c>
      <c r="E31" t="s">
        <v>14</v>
      </c>
      <c r="F31" t="s">
        <v>15</v>
      </c>
      <c r="G31" t="s">
        <v>68</v>
      </c>
      <c r="H31">
        <v>7</v>
      </c>
      <c r="I31">
        <v>0.2</v>
      </c>
      <c r="J31">
        <v>549.62</v>
      </c>
      <c r="K31">
        <v>135.44</v>
      </c>
    </row>
    <row r="32" spans="1:11" x14ac:dyDescent="0.3">
      <c r="A32" t="s">
        <v>69</v>
      </c>
      <c r="B32" s="1">
        <v>45330</v>
      </c>
      <c r="C32" t="s">
        <v>26</v>
      </c>
      <c r="D32" t="s">
        <v>27</v>
      </c>
      <c r="E32" t="s">
        <v>14</v>
      </c>
      <c r="F32" t="s">
        <v>28</v>
      </c>
      <c r="G32" t="s">
        <v>16</v>
      </c>
      <c r="H32">
        <v>2</v>
      </c>
      <c r="I32">
        <v>0.05</v>
      </c>
      <c r="J32">
        <v>82.79</v>
      </c>
      <c r="K32">
        <v>5.35</v>
      </c>
    </row>
    <row r="33" spans="1:11" x14ac:dyDescent="0.3">
      <c r="A33" t="s">
        <v>70</v>
      </c>
      <c r="B33" s="1">
        <v>45330</v>
      </c>
      <c r="C33" t="s">
        <v>30</v>
      </c>
      <c r="D33" t="s">
        <v>31</v>
      </c>
      <c r="E33" t="s">
        <v>44</v>
      </c>
      <c r="F33" t="s">
        <v>15</v>
      </c>
      <c r="G33" t="s">
        <v>24</v>
      </c>
      <c r="H33">
        <v>8</v>
      </c>
      <c r="I33">
        <v>0.1</v>
      </c>
      <c r="J33">
        <v>2045.45</v>
      </c>
      <c r="K33">
        <v>19.739999999999998</v>
      </c>
    </row>
    <row r="34" spans="1:11" x14ac:dyDescent="0.3">
      <c r="A34" t="s">
        <v>71</v>
      </c>
      <c r="B34" s="1">
        <v>45331</v>
      </c>
      <c r="C34" t="s">
        <v>26</v>
      </c>
      <c r="D34" t="s">
        <v>27</v>
      </c>
      <c r="E34" t="s">
        <v>44</v>
      </c>
      <c r="F34" t="s">
        <v>35</v>
      </c>
      <c r="G34" t="s">
        <v>16</v>
      </c>
      <c r="H34">
        <v>2</v>
      </c>
      <c r="I34">
        <v>0.1</v>
      </c>
      <c r="J34">
        <v>268.85000000000002</v>
      </c>
      <c r="K34">
        <v>72.09</v>
      </c>
    </row>
    <row r="35" spans="1:11" x14ac:dyDescent="0.3">
      <c r="A35" t="s">
        <v>72</v>
      </c>
      <c r="B35" s="1">
        <v>45331</v>
      </c>
      <c r="C35" t="s">
        <v>26</v>
      </c>
      <c r="D35" t="s">
        <v>27</v>
      </c>
      <c r="E35" t="s">
        <v>18</v>
      </c>
      <c r="F35" t="s">
        <v>35</v>
      </c>
      <c r="G35" t="s">
        <v>16</v>
      </c>
      <c r="H35">
        <v>8</v>
      </c>
      <c r="I35">
        <v>0.1</v>
      </c>
      <c r="J35">
        <v>1105.8</v>
      </c>
      <c r="K35">
        <v>253.59</v>
      </c>
    </row>
    <row r="36" spans="1:11" x14ac:dyDescent="0.3">
      <c r="A36" t="s">
        <v>73</v>
      </c>
      <c r="B36" s="1">
        <v>45331</v>
      </c>
      <c r="C36" t="s">
        <v>12</v>
      </c>
      <c r="D36" t="s">
        <v>34</v>
      </c>
      <c r="E36" t="s">
        <v>44</v>
      </c>
      <c r="F36" t="s">
        <v>28</v>
      </c>
      <c r="G36" t="s">
        <v>47</v>
      </c>
      <c r="H36">
        <v>1</v>
      </c>
      <c r="I36">
        <v>0.1</v>
      </c>
      <c r="J36">
        <v>136.58000000000001</v>
      </c>
      <c r="K36">
        <v>20.239999999999998</v>
      </c>
    </row>
    <row r="37" spans="1:11" x14ac:dyDescent="0.3">
      <c r="A37" t="s">
        <v>74</v>
      </c>
      <c r="B37" s="1">
        <v>45331</v>
      </c>
      <c r="C37" t="s">
        <v>30</v>
      </c>
      <c r="D37" t="s">
        <v>31</v>
      </c>
      <c r="E37" t="s">
        <v>14</v>
      </c>
      <c r="F37" t="s">
        <v>28</v>
      </c>
      <c r="G37" t="s">
        <v>38</v>
      </c>
      <c r="H37">
        <v>1</v>
      </c>
      <c r="I37">
        <v>0</v>
      </c>
      <c r="J37">
        <v>356.12</v>
      </c>
      <c r="K37">
        <v>62.74</v>
      </c>
    </row>
    <row r="38" spans="1:11" x14ac:dyDescent="0.3">
      <c r="A38" t="s">
        <v>75</v>
      </c>
      <c r="B38" s="1">
        <v>45332</v>
      </c>
      <c r="C38" t="s">
        <v>30</v>
      </c>
      <c r="D38" t="s">
        <v>50</v>
      </c>
      <c r="E38" t="s">
        <v>14</v>
      </c>
      <c r="F38" t="s">
        <v>15</v>
      </c>
      <c r="G38" t="s">
        <v>32</v>
      </c>
      <c r="H38">
        <v>4</v>
      </c>
      <c r="I38">
        <v>0.2</v>
      </c>
      <c r="J38">
        <v>667.51</v>
      </c>
      <c r="K38">
        <v>50.42</v>
      </c>
    </row>
    <row r="39" spans="1:11" x14ac:dyDescent="0.3">
      <c r="A39" t="s">
        <v>76</v>
      </c>
      <c r="B39" s="1">
        <v>45333</v>
      </c>
      <c r="C39" t="s">
        <v>12</v>
      </c>
      <c r="D39" t="s">
        <v>13</v>
      </c>
      <c r="E39" t="s">
        <v>44</v>
      </c>
      <c r="F39" t="s">
        <v>35</v>
      </c>
      <c r="G39" t="s">
        <v>47</v>
      </c>
      <c r="H39">
        <v>7</v>
      </c>
      <c r="I39">
        <v>0.15</v>
      </c>
      <c r="J39">
        <v>762.53</v>
      </c>
      <c r="K39">
        <v>60.21</v>
      </c>
    </row>
    <row r="40" spans="1:11" x14ac:dyDescent="0.3">
      <c r="A40" t="s">
        <v>77</v>
      </c>
      <c r="B40" s="1">
        <v>45333</v>
      </c>
      <c r="C40" t="s">
        <v>30</v>
      </c>
      <c r="D40" t="s">
        <v>50</v>
      </c>
      <c r="E40" t="s">
        <v>44</v>
      </c>
      <c r="F40" t="s">
        <v>28</v>
      </c>
      <c r="G40" t="s">
        <v>32</v>
      </c>
      <c r="H40">
        <v>5</v>
      </c>
      <c r="I40">
        <v>0.1</v>
      </c>
      <c r="J40">
        <v>469.56</v>
      </c>
      <c r="K40">
        <v>83.66</v>
      </c>
    </row>
    <row r="41" spans="1:11" x14ac:dyDescent="0.3">
      <c r="A41" t="s">
        <v>78</v>
      </c>
      <c r="B41" s="1">
        <v>45335</v>
      </c>
      <c r="C41" t="s">
        <v>30</v>
      </c>
      <c r="D41" t="s">
        <v>50</v>
      </c>
      <c r="E41" t="s">
        <v>14</v>
      </c>
      <c r="F41" t="s">
        <v>35</v>
      </c>
      <c r="G41" t="s">
        <v>38</v>
      </c>
      <c r="H41">
        <v>8</v>
      </c>
      <c r="I41">
        <v>0.1</v>
      </c>
      <c r="J41">
        <v>1820.41</v>
      </c>
      <c r="K41">
        <v>155.21</v>
      </c>
    </row>
    <row r="42" spans="1:11" x14ac:dyDescent="0.3">
      <c r="A42" t="s">
        <v>79</v>
      </c>
      <c r="B42" s="1">
        <v>45338</v>
      </c>
      <c r="C42" t="s">
        <v>26</v>
      </c>
      <c r="D42" t="s">
        <v>55</v>
      </c>
      <c r="E42" t="s">
        <v>14</v>
      </c>
      <c r="F42" t="s">
        <v>35</v>
      </c>
      <c r="G42" t="s">
        <v>19</v>
      </c>
      <c r="H42">
        <v>1</v>
      </c>
      <c r="I42">
        <v>0.2</v>
      </c>
      <c r="J42">
        <v>142.13999999999999</v>
      </c>
      <c r="K42">
        <v>24.19</v>
      </c>
    </row>
    <row r="43" spans="1:11" x14ac:dyDescent="0.3">
      <c r="A43" t="s">
        <v>80</v>
      </c>
      <c r="B43" s="1">
        <v>45338</v>
      </c>
      <c r="C43" t="s">
        <v>30</v>
      </c>
      <c r="D43" t="s">
        <v>31</v>
      </c>
      <c r="E43" t="s">
        <v>44</v>
      </c>
      <c r="F43" t="s">
        <v>15</v>
      </c>
      <c r="G43" t="s">
        <v>32</v>
      </c>
      <c r="H43">
        <v>2</v>
      </c>
      <c r="I43">
        <v>0.1</v>
      </c>
      <c r="J43">
        <v>386.88</v>
      </c>
      <c r="K43">
        <v>47.25</v>
      </c>
    </row>
    <row r="44" spans="1:11" x14ac:dyDescent="0.3">
      <c r="A44" t="s">
        <v>81</v>
      </c>
      <c r="B44" s="1">
        <v>45340</v>
      </c>
      <c r="C44" t="s">
        <v>30</v>
      </c>
      <c r="D44" t="s">
        <v>40</v>
      </c>
      <c r="E44" t="s">
        <v>44</v>
      </c>
      <c r="F44" t="s">
        <v>15</v>
      </c>
      <c r="G44" t="s">
        <v>32</v>
      </c>
      <c r="H44">
        <v>4</v>
      </c>
      <c r="I44">
        <v>0.15</v>
      </c>
      <c r="J44">
        <v>905.68</v>
      </c>
      <c r="K44">
        <v>187.66</v>
      </c>
    </row>
    <row r="45" spans="1:11" x14ac:dyDescent="0.3">
      <c r="A45" t="s">
        <v>82</v>
      </c>
      <c r="B45" s="1">
        <v>45342</v>
      </c>
      <c r="C45" t="s">
        <v>12</v>
      </c>
      <c r="D45" t="s">
        <v>46</v>
      </c>
      <c r="E45" t="s">
        <v>14</v>
      </c>
      <c r="F45" t="s">
        <v>15</v>
      </c>
      <c r="G45" t="s">
        <v>16</v>
      </c>
      <c r="H45">
        <v>4</v>
      </c>
      <c r="I45">
        <v>0</v>
      </c>
      <c r="J45">
        <v>348.43</v>
      </c>
      <c r="K45">
        <v>16.309999999999999</v>
      </c>
    </row>
    <row r="46" spans="1:11" x14ac:dyDescent="0.3">
      <c r="A46" t="s">
        <v>83</v>
      </c>
      <c r="B46" s="1">
        <v>45342</v>
      </c>
      <c r="C46" t="s">
        <v>30</v>
      </c>
      <c r="D46" t="s">
        <v>31</v>
      </c>
      <c r="E46" t="s">
        <v>44</v>
      </c>
      <c r="F46" t="s">
        <v>35</v>
      </c>
      <c r="G46" t="s">
        <v>53</v>
      </c>
      <c r="H46">
        <v>4</v>
      </c>
      <c r="I46">
        <v>0.15</v>
      </c>
      <c r="J46">
        <v>822.88</v>
      </c>
      <c r="K46">
        <v>34.58</v>
      </c>
    </row>
    <row r="47" spans="1:11" x14ac:dyDescent="0.3">
      <c r="A47" t="s">
        <v>84</v>
      </c>
      <c r="B47" s="1">
        <v>45344</v>
      </c>
      <c r="C47" t="s">
        <v>30</v>
      </c>
      <c r="D47" t="s">
        <v>40</v>
      </c>
      <c r="E47" t="s">
        <v>44</v>
      </c>
      <c r="F47" t="s">
        <v>35</v>
      </c>
      <c r="G47" t="s">
        <v>19</v>
      </c>
      <c r="H47">
        <v>1</v>
      </c>
      <c r="I47">
        <v>0.05</v>
      </c>
      <c r="J47">
        <v>143.69999999999999</v>
      </c>
      <c r="K47">
        <v>14.04</v>
      </c>
    </row>
    <row r="48" spans="1:11" x14ac:dyDescent="0.3">
      <c r="A48" t="s">
        <v>85</v>
      </c>
      <c r="B48" s="1">
        <v>45345</v>
      </c>
      <c r="C48" t="s">
        <v>12</v>
      </c>
      <c r="D48" t="s">
        <v>21</v>
      </c>
      <c r="E48" t="s">
        <v>18</v>
      </c>
      <c r="F48" t="s">
        <v>28</v>
      </c>
      <c r="G48" t="s">
        <v>38</v>
      </c>
      <c r="H48">
        <v>9</v>
      </c>
      <c r="I48">
        <v>0.1</v>
      </c>
      <c r="J48">
        <v>473.24</v>
      </c>
      <c r="K48">
        <v>5.95</v>
      </c>
    </row>
    <row r="49" spans="1:11" x14ac:dyDescent="0.3">
      <c r="A49" t="s">
        <v>86</v>
      </c>
      <c r="B49" s="1">
        <v>45345</v>
      </c>
      <c r="C49" t="s">
        <v>12</v>
      </c>
      <c r="D49" t="s">
        <v>21</v>
      </c>
      <c r="E49" t="s">
        <v>44</v>
      </c>
      <c r="F49" t="s">
        <v>35</v>
      </c>
      <c r="G49" t="s">
        <v>47</v>
      </c>
      <c r="H49">
        <v>4</v>
      </c>
      <c r="I49">
        <v>0</v>
      </c>
      <c r="J49">
        <v>358.63</v>
      </c>
      <c r="K49">
        <v>63.55</v>
      </c>
    </row>
    <row r="50" spans="1:11" x14ac:dyDescent="0.3">
      <c r="A50" t="s">
        <v>87</v>
      </c>
      <c r="B50" s="1">
        <v>45346</v>
      </c>
      <c r="C50" t="s">
        <v>12</v>
      </c>
      <c r="D50" t="s">
        <v>34</v>
      </c>
      <c r="E50" t="s">
        <v>18</v>
      </c>
      <c r="F50" t="s">
        <v>35</v>
      </c>
      <c r="G50" t="s">
        <v>16</v>
      </c>
      <c r="H50">
        <v>6</v>
      </c>
      <c r="I50">
        <v>0.15</v>
      </c>
      <c r="J50">
        <v>414.27</v>
      </c>
      <c r="K50">
        <v>-2.71</v>
      </c>
    </row>
    <row r="51" spans="1:11" x14ac:dyDescent="0.3">
      <c r="A51" t="s">
        <v>88</v>
      </c>
      <c r="B51" s="1">
        <v>45346</v>
      </c>
      <c r="C51" t="s">
        <v>12</v>
      </c>
      <c r="D51" t="s">
        <v>46</v>
      </c>
      <c r="E51" t="s">
        <v>14</v>
      </c>
      <c r="F51" t="s">
        <v>35</v>
      </c>
      <c r="G51" t="s">
        <v>68</v>
      </c>
      <c r="H51">
        <v>9</v>
      </c>
      <c r="I51">
        <v>0.15</v>
      </c>
      <c r="J51">
        <v>649.20000000000005</v>
      </c>
      <c r="K51">
        <v>76.599999999999994</v>
      </c>
    </row>
    <row r="52" spans="1:11" x14ac:dyDescent="0.3">
      <c r="A52" t="s">
        <v>89</v>
      </c>
      <c r="B52" s="1">
        <v>45346</v>
      </c>
      <c r="C52" t="s">
        <v>30</v>
      </c>
      <c r="D52" t="s">
        <v>31</v>
      </c>
      <c r="E52" t="s">
        <v>23</v>
      </c>
      <c r="F52" t="s">
        <v>35</v>
      </c>
      <c r="G52" t="s">
        <v>68</v>
      </c>
      <c r="H52">
        <v>3</v>
      </c>
      <c r="I52">
        <v>0</v>
      </c>
      <c r="J52">
        <v>912.64</v>
      </c>
      <c r="K52">
        <v>162.77000000000001</v>
      </c>
    </row>
    <row r="53" spans="1:11" x14ac:dyDescent="0.3">
      <c r="A53" t="s">
        <v>90</v>
      </c>
      <c r="B53" s="1">
        <v>45350</v>
      </c>
      <c r="C53" t="s">
        <v>26</v>
      </c>
      <c r="D53" t="s">
        <v>27</v>
      </c>
      <c r="E53" t="s">
        <v>23</v>
      </c>
      <c r="F53" t="s">
        <v>35</v>
      </c>
      <c r="G53" t="s">
        <v>68</v>
      </c>
      <c r="H53">
        <v>9</v>
      </c>
      <c r="I53">
        <v>0.2</v>
      </c>
      <c r="J53">
        <v>1235.2</v>
      </c>
      <c r="K53">
        <v>31.56</v>
      </c>
    </row>
    <row r="54" spans="1:11" x14ac:dyDescent="0.3">
      <c r="A54" t="s">
        <v>91</v>
      </c>
      <c r="B54" s="1">
        <v>45352</v>
      </c>
      <c r="C54" t="s">
        <v>26</v>
      </c>
      <c r="D54" t="s">
        <v>55</v>
      </c>
      <c r="E54" t="s">
        <v>44</v>
      </c>
      <c r="F54" t="s">
        <v>35</v>
      </c>
      <c r="G54" t="s">
        <v>24</v>
      </c>
      <c r="H54">
        <v>9</v>
      </c>
      <c r="I54">
        <v>0.1</v>
      </c>
      <c r="J54">
        <v>1645.06</v>
      </c>
      <c r="K54">
        <v>-38.85</v>
      </c>
    </row>
    <row r="55" spans="1:11" x14ac:dyDescent="0.3">
      <c r="A55" t="s">
        <v>92</v>
      </c>
      <c r="B55" s="1">
        <v>45352</v>
      </c>
      <c r="C55" t="s">
        <v>26</v>
      </c>
      <c r="D55" t="s">
        <v>55</v>
      </c>
      <c r="E55" t="s">
        <v>44</v>
      </c>
      <c r="F55" t="s">
        <v>35</v>
      </c>
      <c r="G55" t="s">
        <v>19</v>
      </c>
      <c r="H55">
        <v>8</v>
      </c>
      <c r="I55">
        <v>0.15</v>
      </c>
      <c r="J55">
        <v>1414.87</v>
      </c>
      <c r="K55">
        <v>44.11</v>
      </c>
    </row>
    <row r="56" spans="1:11" x14ac:dyDescent="0.3">
      <c r="A56" t="s">
        <v>93</v>
      </c>
      <c r="B56" s="1">
        <v>45353</v>
      </c>
      <c r="C56" t="s">
        <v>26</v>
      </c>
      <c r="D56" t="s">
        <v>43</v>
      </c>
      <c r="E56" t="s">
        <v>14</v>
      </c>
      <c r="F56" t="s">
        <v>15</v>
      </c>
      <c r="G56" t="s">
        <v>19</v>
      </c>
      <c r="H56">
        <v>6</v>
      </c>
      <c r="I56">
        <v>0.1</v>
      </c>
      <c r="J56">
        <v>1369.97</v>
      </c>
      <c r="K56">
        <v>133.55000000000001</v>
      </c>
    </row>
    <row r="57" spans="1:11" x14ac:dyDescent="0.3">
      <c r="A57" t="s">
        <v>94</v>
      </c>
      <c r="B57" s="1">
        <v>45353</v>
      </c>
      <c r="C57" t="s">
        <v>12</v>
      </c>
      <c r="D57" t="s">
        <v>21</v>
      </c>
      <c r="E57" t="s">
        <v>23</v>
      </c>
      <c r="F57" t="s">
        <v>28</v>
      </c>
      <c r="G57" t="s">
        <v>38</v>
      </c>
      <c r="H57">
        <v>7</v>
      </c>
      <c r="I57">
        <v>0.15</v>
      </c>
      <c r="J57">
        <v>792</v>
      </c>
      <c r="K57">
        <v>19.64</v>
      </c>
    </row>
    <row r="58" spans="1:11" x14ac:dyDescent="0.3">
      <c r="A58" t="s">
        <v>95</v>
      </c>
      <c r="B58" s="1">
        <v>45354</v>
      </c>
      <c r="C58" t="s">
        <v>12</v>
      </c>
      <c r="D58" t="s">
        <v>21</v>
      </c>
      <c r="E58" t="s">
        <v>18</v>
      </c>
      <c r="F58" t="s">
        <v>28</v>
      </c>
      <c r="G58" t="s">
        <v>47</v>
      </c>
      <c r="H58">
        <v>2</v>
      </c>
      <c r="I58">
        <v>0.1</v>
      </c>
      <c r="J58">
        <v>165.48</v>
      </c>
      <c r="K58">
        <v>40.46</v>
      </c>
    </row>
    <row r="59" spans="1:11" x14ac:dyDescent="0.3">
      <c r="A59" t="s">
        <v>96</v>
      </c>
      <c r="B59" s="1">
        <v>45354</v>
      </c>
      <c r="C59" t="s">
        <v>12</v>
      </c>
      <c r="D59" t="s">
        <v>34</v>
      </c>
      <c r="E59" t="s">
        <v>23</v>
      </c>
      <c r="F59" t="s">
        <v>15</v>
      </c>
      <c r="G59" t="s">
        <v>24</v>
      </c>
      <c r="H59">
        <v>9</v>
      </c>
      <c r="I59">
        <v>0.1</v>
      </c>
      <c r="J59">
        <v>1085.17</v>
      </c>
      <c r="K59">
        <v>113.56</v>
      </c>
    </row>
    <row r="60" spans="1:11" x14ac:dyDescent="0.3">
      <c r="A60" t="s">
        <v>97</v>
      </c>
      <c r="B60" s="1">
        <v>45360</v>
      </c>
      <c r="C60" t="s">
        <v>30</v>
      </c>
      <c r="D60" t="s">
        <v>50</v>
      </c>
      <c r="E60" t="s">
        <v>23</v>
      </c>
      <c r="F60" t="s">
        <v>35</v>
      </c>
      <c r="G60" t="s">
        <v>16</v>
      </c>
      <c r="H60">
        <v>2</v>
      </c>
      <c r="I60">
        <v>0.1</v>
      </c>
      <c r="J60">
        <v>508.95</v>
      </c>
      <c r="K60">
        <v>28.2</v>
      </c>
    </row>
    <row r="61" spans="1:11" x14ac:dyDescent="0.3">
      <c r="A61" t="s">
        <v>98</v>
      </c>
      <c r="B61" s="1">
        <v>45364</v>
      </c>
      <c r="C61" t="s">
        <v>30</v>
      </c>
      <c r="D61" t="s">
        <v>31</v>
      </c>
      <c r="E61" t="s">
        <v>23</v>
      </c>
      <c r="F61" t="s">
        <v>35</v>
      </c>
      <c r="G61" t="s">
        <v>38</v>
      </c>
      <c r="H61">
        <v>6</v>
      </c>
      <c r="I61">
        <v>0.1</v>
      </c>
      <c r="J61">
        <v>770.82</v>
      </c>
      <c r="K61">
        <v>-2.93</v>
      </c>
    </row>
    <row r="62" spans="1:11" x14ac:dyDescent="0.3">
      <c r="A62" t="s">
        <v>99</v>
      </c>
      <c r="B62" s="1">
        <v>45366</v>
      </c>
      <c r="C62" t="s">
        <v>30</v>
      </c>
      <c r="D62" t="s">
        <v>50</v>
      </c>
      <c r="E62" t="s">
        <v>23</v>
      </c>
      <c r="F62" t="s">
        <v>35</v>
      </c>
      <c r="G62" t="s">
        <v>47</v>
      </c>
      <c r="H62">
        <v>8</v>
      </c>
      <c r="I62">
        <v>0</v>
      </c>
      <c r="J62">
        <v>1685.86</v>
      </c>
      <c r="K62">
        <v>443.79</v>
      </c>
    </row>
    <row r="63" spans="1:11" x14ac:dyDescent="0.3">
      <c r="A63" t="s">
        <v>100</v>
      </c>
      <c r="B63" s="1">
        <v>45366</v>
      </c>
      <c r="C63" t="s">
        <v>12</v>
      </c>
      <c r="D63" t="s">
        <v>34</v>
      </c>
      <c r="E63" t="s">
        <v>23</v>
      </c>
      <c r="F63" t="s">
        <v>28</v>
      </c>
      <c r="G63" t="s">
        <v>16</v>
      </c>
      <c r="H63">
        <v>5</v>
      </c>
      <c r="I63">
        <v>0.1</v>
      </c>
      <c r="J63">
        <v>360.05</v>
      </c>
      <c r="K63">
        <v>76.03</v>
      </c>
    </row>
    <row r="64" spans="1:11" x14ac:dyDescent="0.3">
      <c r="A64" t="s">
        <v>101</v>
      </c>
      <c r="B64" s="1">
        <v>45369</v>
      </c>
      <c r="C64" t="s">
        <v>26</v>
      </c>
      <c r="D64" t="s">
        <v>27</v>
      </c>
      <c r="E64" t="s">
        <v>14</v>
      </c>
      <c r="F64" t="s">
        <v>35</v>
      </c>
      <c r="G64" t="s">
        <v>38</v>
      </c>
      <c r="H64">
        <v>8</v>
      </c>
      <c r="I64">
        <v>0.15</v>
      </c>
      <c r="J64">
        <v>1590.9</v>
      </c>
      <c r="K64">
        <v>324.82</v>
      </c>
    </row>
    <row r="65" spans="1:11" x14ac:dyDescent="0.3">
      <c r="A65" t="s">
        <v>102</v>
      </c>
      <c r="B65" s="1">
        <v>45372</v>
      </c>
      <c r="C65" t="s">
        <v>26</v>
      </c>
      <c r="D65" t="s">
        <v>27</v>
      </c>
      <c r="E65" t="s">
        <v>18</v>
      </c>
      <c r="F65" t="s">
        <v>28</v>
      </c>
      <c r="G65" t="s">
        <v>16</v>
      </c>
      <c r="H65">
        <v>9</v>
      </c>
      <c r="I65">
        <v>0</v>
      </c>
      <c r="J65">
        <v>1818.34</v>
      </c>
      <c r="K65">
        <v>428.83</v>
      </c>
    </row>
    <row r="66" spans="1:11" x14ac:dyDescent="0.3">
      <c r="A66" t="s">
        <v>103</v>
      </c>
      <c r="B66" s="1">
        <v>45373</v>
      </c>
      <c r="C66" t="s">
        <v>30</v>
      </c>
      <c r="D66" t="s">
        <v>31</v>
      </c>
      <c r="E66" t="s">
        <v>44</v>
      </c>
      <c r="F66" t="s">
        <v>15</v>
      </c>
      <c r="G66" t="s">
        <v>24</v>
      </c>
      <c r="H66">
        <v>6</v>
      </c>
      <c r="I66">
        <v>0</v>
      </c>
      <c r="J66">
        <v>1486.87</v>
      </c>
      <c r="K66">
        <v>240.18</v>
      </c>
    </row>
    <row r="67" spans="1:11" x14ac:dyDescent="0.3">
      <c r="A67" t="s">
        <v>104</v>
      </c>
      <c r="B67" s="1">
        <v>45375</v>
      </c>
      <c r="C67" t="s">
        <v>12</v>
      </c>
      <c r="D67" t="s">
        <v>13</v>
      </c>
      <c r="E67" t="s">
        <v>14</v>
      </c>
      <c r="F67" t="s">
        <v>35</v>
      </c>
      <c r="G67" t="s">
        <v>19</v>
      </c>
      <c r="H67">
        <v>9</v>
      </c>
      <c r="I67">
        <v>0.1</v>
      </c>
      <c r="J67">
        <v>700.15</v>
      </c>
      <c r="K67">
        <v>56.03</v>
      </c>
    </row>
    <row r="68" spans="1:11" x14ac:dyDescent="0.3">
      <c r="A68" t="s">
        <v>105</v>
      </c>
      <c r="B68" s="1">
        <v>45376</v>
      </c>
      <c r="C68" t="s">
        <v>30</v>
      </c>
      <c r="D68" t="s">
        <v>31</v>
      </c>
      <c r="E68" t="s">
        <v>18</v>
      </c>
      <c r="F68" t="s">
        <v>28</v>
      </c>
      <c r="G68" t="s">
        <v>68</v>
      </c>
      <c r="H68">
        <v>6</v>
      </c>
      <c r="I68">
        <v>0</v>
      </c>
      <c r="J68">
        <v>2308.91</v>
      </c>
      <c r="K68">
        <v>729.21</v>
      </c>
    </row>
    <row r="69" spans="1:11" x14ac:dyDescent="0.3">
      <c r="A69" t="s">
        <v>106</v>
      </c>
      <c r="B69" s="1">
        <v>45377</v>
      </c>
      <c r="C69" t="s">
        <v>12</v>
      </c>
      <c r="D69" t="s">
        <v>46</v>
      </c>
      <c r="E69" t="s">
        <v>18</v>
      </c>
      <c r="F69" t="s">
        <v>35</v>
      </c>
      <c r="G69" t="s">
        <v>32</v>
      </c>
      <c r="H69">
        <v>3</v>
      </c>
      <c r="I69">
        <v>0.2</v>
      </c>
      <c r="J69">
        <v>152.47</v>
      </c>
      <c r="K69">
        <v>9.26</v>
      </c>
    </row>
    <row r="70" spans="1:11" x14ac:dyDescent="0.3">
      <c r="A70" t="s">
        <v>107</v>
      </c>
      <c r="B70" s="1">
        <v>45378</v>
      </c>
      <c r="C70" t="s">
        <v>30</v>
      </c>
      <c r="D70" t="s">
        <v>40</v>
      </c>
      <c r="E70" t="s">
        <v>18</v>
      </c>
      <c r="F70" t="s">
        <v>28</v>
      </c>
      <c r="G70" t="s">
        <v>19</v>
      </c>
      <c r="H70">
        <v>4</v>
      </c>
      <c r="I70">
        <v>0.15</v>
      </c>
      <c r="J70">
        <v>420.44</v>
      </c>
      <c r="K70">
        <v>-23.65</v>
      </c>
    </row>
    <row r="71" spans="1:11" x14ac:dyDescent="0.3">
      <c r="A71" t="s">
        <v>108</v>
      </c>
      <c r="B71" s="1">
        <v>45379</v>
      </c>
      <c r="C71" t="s">
        <v>12</v>
      </c>
      <c r="D71" t="s">
        <v>13</v>
      </c>
      <c r="E71" t="s">
        <v>18</v>
      </c>
      <c r="F71" t="s">
        <v>35</v>
      </c>
      <c r="G71" t="s">
        <v>32</v>
      </c>
      <c r="H71">
        <v>3</v>
      </c>
      <c r="I71">
        <v>0.2</v>
      </c>
      <c r="J71">
        <v>335.58</v>
      </c>
      <c r="K71">
        <v>-2.88</v>
      </c>
    </row>
    <row r="72" spans="1:11" x14ac:dyDescent="0.3">
      <c r="A72" t="s">
        <v>109</v>
      </c>
      <c r="B72" s="1">
        <v>45380</v>
      </c>
      <c r="C72" t="s">
        <v>26</v>
      </c>
      <c r="D72" t="s">
        <v>55</v>
      </c>
      <c r="E72" t="s">
        <v>23</v>
      </c>
      <c r="F72" t="s">
        <v>35</v>
      </c>
      <c r="G72" t="s">
        <v>32</v>
      </c>
      <c r="H72">
        <v>5</v>
      </c>
      <c r="I72">
        <v>0.1</v>
      </c>
      <c r="J72">
        <v>885.49</v>
      </c>
      <c r="K72">
        <v>146.06</v>
      </c>
    </row>
    <row r="73" spans="1:11" x14ac:dyDescent="0.3">
      <c r="A73" t="s">
        <v>110</v>
      </c>
      <c r="B73" s="1">
        <v>45380</v>
      </c>
      <c r="C73" t="s">
        <v>30</v>
      </c>
      <c r="D73" t="s">
        <v>31</v>
      </c>
      <c r="E73" t="s">
        <v>14</v>
      </c>
      <c r="F73" t="s">
        <v>15</v>
      </c>
      <c r="G73" t="s">
        <v>38</v>
      </c>
      <c r="H73">
        <v>2</v>
      </c>
      <c r="I73">
        <v>0.3</v>
      </c>
      <c r="J73">
        <v>178.68</v>
      </c>
      <c r="K73">
        <v>28.57</v>
      </c>
    </row>
    <row r="74" spans="1:11" x14ac:dyDescent="0.3">
      <c r="A74" t="s">
        <v>111</v>
      </c>
      <c r="B74" s="1">
        <v>45383</v>
      </c>
      <c r="C74" t="s">
        <v>12</v>
      </c>
      <c r="D74" t="s">
        <v>21</v>
      </c>
      <c r="E74" t="s">
        <v>23</v>
      </c>
      <c r="F74" t="s">
        <v>35</v>
      </c>
      <c r="G74" t="s">
        <v>47</v>
      </c>
      <c r="H74">
        <v>6</v>
      </c>
      <c r="I74">
        <v>0</v>
      </c>
      <c r="J74">
        <v>506.4</v>
      </c>
      <c r="K74">
        <v>112.77</v>
      </c>
    </row>
    <row r="75" spans="1:11" x14ac:dyDescent="0.3">
      <c r="A75" t="s">
        <v>112</v>
      </c>
      <c r="B75" s="1">
        <v>45387</v>
      </c>
      <c r="C75" t="s">
        <v>26</v>
      </c>
      <c r="D75" t="s">
        <v>27</v>
      </c>
      <c r="E75" t="s">
        <v>14</v>
      </c>
      <c r="F75" t="s">
        <v>28</v>
      </c>
      <c r="G75" t="s">
        <v>38</v>
      </c>
      <c r="H75">
        <v>5</v>
      </c>
      <c r="I75">
        <v>0.2</v>
      </c>
      <c r="J75">
        <v>302.92</v>
      </c>
      <c r="K75">
        <v>3.11</v>
      </c>
    </row>
    <row r="76" spans="1:11" x14ac:dyDescent="0.3">
      <c r="A76" t="s">
        <v>113</v>
      </c>
      <c r="B76" s="1">
        <v>45389</v>
      </c>
      <c r="C76" t="s">
        <v>12</v>
      </c>
      <c r="D76" t="s">
        <v>34</v>
      </c>
      <c r="E76" t="s">
        <v>23</v>
      </c>
      <c r="F76" t="s">
        <v>15</v>
      </c>
      <c r="G76" t="s">
        <v>24</v>
      </c>
      <c r="H76">
        <v>6</v>
      </c>
      <c r="I76">
        <v>0.2</v>
      </c>
      <c r="J76">
        <v>197.33</v>
      </c>
      <c r="K76">
        <v>2.72</v>
      </c>
    </row>
    <row r="77" spans="1:11" x14ac:dyDescent="0.3">
      <c r="A77" t="s">
        <v>114</v>
      </c>
      <c r="B77" s="1">
        <v>45389</v>
      </c>
      <c r="C77" t="s">
        <v>12</v>
      </c>
      <c r="D77" t="s">
        <v>13</v>
      </c>
      <c r="E77" t="s">
        <v>44</v>
      </c>
      <c r="F77" t="s">
        <v>28</v>
      </c>
      <c r="G77" t="s">
        <v>53</v>
      </c>
      <c r="H77">
        <v>2</v>
      </c>
      <c r="I77">
        <v>0.2</v>
      </c>
      <c r="J77">
        <v>109.33</v>
      </c>
      <c r="K77">
        <v>12.17</v>
      </c>
    </row>
    <row r="78" spans="1:11" x14ac:dyDescent="0.3">
      <c r="A78" t="s">
        <v>115</v>
      </c>
      <c r="B78" s="1">
        <v>45390</v>
      </c>
      <c r="C78" t="s">
        <v>12</v>
      </c>
      <c r="D78" t="s">
        <v>46</v>
      </c>
      <c r="E78" t="s">
        <v>23</v>
      </c>
      <c r="F78" t="s">
        <v>35</v>
      </c>
      <c r="G78" t="s">
        <v>68</v>
      </c>
      <c r="H78">
        <v>6</v>
      </c>
      <c r="I78">
        <v>0</v>
      </c>
      <c r="J78">
        <v>590.83000000000004</v>
      </c>
      <c r="K78">
        <v>156.41</v>
      </c>
    </row>
    <row r="79" spans="1:11" x14ac:dyDescent="0.3">
      <c r="A79" t="s">
        <v>116</v>
      </c>
      <c r="B79" s="1">
        <v>45393</v>
      </c>
      <c r="C79" t="s">
        <v>26</v>
      </c>
      <c r="D79" t="s">
        <v>27</v>
      </c>
      <c r="E79" t="s">
        <v>14</v>
      </c>
      <c r="F79" t="s">
        <v>35</v>
      </c>
      <c r="G79" t="s">
        <v>32</v>
      </c>
      <c r="H79">
        <v>8</v>
      </c>
      <c r="I79">
        <v>0.05</v>
      </c>
      <c r="J79">
        <v>1364.4</v>
      </c>
      <c r="K79">
        <v>212</v>
      </c>
    </row>
    <row r="80" spans="1:11" x14ac:dyDescent="0.3">
      <c r="A80" t="s">
        <v>117</v>
      </c>
      <c r="B80" s="1">
        <v>45397</v>
      </c>
      <c r="C80" t="s">
        <v>26</v>
      </c>
      <c r="D80" t="s">
        <v>27</v>
      </c>
      <c r="E80" t="s">
        <v>44</v>
      </c>
      <c r="F80" t="s">
        <v>28</v>
      </c>
      <c r="G80" t="s">
        <v>68</v>
      </c>
      <c r="H80">
        <v>9</v>
      </c>
      <c r="I80">
        <v>0.05</v>
      </c>
      <c r="J80">
        <v>1336.37</v>
      </c>
      <c r="K80">
        <v>138.68</v>
      </c>
    </row>
    <row r="81" spans="1:11" x14ac:dyDescent="0.3">
      <c r="A81" t="s">
        <v>118</v>
      </c>
      <c r="B81" s="1">
        <v>45398</v>
      </c>
      <c r="C81" t="s">
        <v>26</v>
      </c>
      <c r="D81" t="s">
        <v>27</v>
      </c>
      <c r="E81" t="s">
        <v>23</v>
      </c>
      <c r="F81" t="s">
        <v>35</v>
      </c>
      <c r="G81" t="s">
        <v>24</v>
      </c>
      <c r="H81">
        <v>1</v>
      </c>
      <c r="I81">
        <v>0.2</v>
      </c>
      <c r="J81">
        <v>134.38</v>
      </c>
      <c r="K81">
        <v>-5.86</v>
      </c>
    </row>
    <row r="82" spans="1:11" x14ac:dyDescent="0.3">
      <c r="A82" t="s">
        <v>119</v>
      </c>
      <c r="B82" s="1">
        <v>45399</v>
      </c>
      <c r="C82" t="s">
        <v>30</v>
      </c>
      <c r="D82" t="s">
        <v>31</v>
      </c>
      <c r="E82" t="s">
        <v>14</v>
      </c>
      <c r="F82" t="s">
        <v>15</v>
      </c>
      <c r="G82" t="s">
        <v>68</v>
      </c>
      <c r="H82">
        <v>8</v>
      </c>
      <c r="I82">
        <v>0</v>
      </c>
      <c r="J82">
        <v>2039.64</v>
      </c>
      <c r="K82">
        <v>40.049999999999997</v>
      </c>
    </row>
    <row r="83" spans="1:11" x14ac:dyDescent="0.3">
      <c r="A83" t="s">
        <v>120</v>
      </c>
      <c r="B83" s="1">
        <v>45399</v>
      </c>
      <c r="C83" t="s">
        <v>12</v>
      </c>
      <c r="D83" t="s">
        <v>34</v>
      </c>
      <c r="E83" t="s">
        <v>23</v>
      </c>
      <c r="F83" t="s">
        <v>28</v>
      </c>
      <c r="G83" t="s">
        <v>68</v>
      </c>
      <c r="H83">
        <v>1</v>
      </c>
      <c r="I83">
        <v>0.05</v>
      </c>
      <c r="J83">
        <v>37</v>
      </c>
      <c r="K83">
        <v>9.1199999999999992</v>
      </c>
    </row>
    <row r="84" spans="1:11" x14ac:dyDescent="0.3">
      <c r="A84" t="s">
        <v>121</v>
      </c>
      <c r="B84" s="1">
        <v>45400</v>
      </c>
      <c r="C84" t="s">
        <v>12</v>
      </c>
      <c r="D84" t="s">
        <v>34</v>
      </c>
      <c r="E84" t="s">
        <v>23</v>
      </c>
      <c r="F84" t="s">
        <v>15</v>
      </c>
      <c r="G84" t="s">
        <v>38</v>
      </c>
      <c r="H84">
        <v>2</v>
      </c>
      <c r="I84">
        <v>0</v>
      </c>
      <c r="J84">
        <v>137.80000000000001</v>
      </c>
      <c r="K84">
        <v>11.99</v>
      </c>
    </row>
    <row r="85" spans="1:11" x14ac:dyDescent="0.3">
      <c r="A85" t="s">
        <v>122</v>
      </c>
      <c r="B85" s="1">
        <v>45404</v>
      </c>
      <c r="C85" t="s">
        <v>12</v>
      </c>
      <c r="D85" t="s">
        <v>13</v>
      </c>
      <c r="E85" t="s">
        <v>44</v>
      </c>
      <c r="F85" t="s">
        <v>15</v>
      </c>
      <c r="G85" t="s">
        <v>68</v>
      </c>
      <c r="H85">
        <v>1</v>
      </c>
      <c r="I85">
        <v>0</v>
      </c>
      <c r="J85">
        <v>50.16</v>
      </c>
      <c r="K85">
        <v>6.86</v>
      </c>
    </row>
    <row r="86" spans="1:11" x14ac:dyDescent="0.3">
      <c r="A86" t="s">
        <v>123</v>
      </c>
      <c r="B86" s="1">
        <v>45404</v>
      </c>
      <c r="C86" t="s">
        <v>26</v>
      </c>
      <c r="D86" t="s">
        <v>27</v>
      </c>
      <c r="E86" t="s">
        <v>18</v>
      </c>
      <c r="F86" t="s">
        <v>15</v>
      </c>
      <c r="G86" t="s">
        <v>19</v>
      </c>
      <c r="H86">
        <v>1</v>
      </c>
      <c r="I86">
        <v>0.05</v>
      </c>
      <c r="J86">
        <v>196.4</v>
      </c>
      <c r="K86">
        <v>8.85</v>
      </c>
    </row>
    <row r="87" spans="1:11" x14ac:dyDescent="0.3">
      <c r="A87" t="s">
        <v>124</v>
      </c>
      <c r="B87" s="1">
        <v>45405</v>
      </c>
      <c r="C87" t="s">
        <v>12</v>
      </c>
      <c r="D87" t="s">
        <v>13</v>
      </c>
      <c r="E87" t="s">
        <v>44</v>
      </c>
      <c r="F87" t="s">
        <v>15</v>
      </c>
      <c r="G87" t="s">
        <v>38</v>
      </c>
      <c r="H87">
        <v>7</v>
      </c>
      <c r="I87">
        <v>0.05</v>
      </c>
      <c r="J87">
        <v>500.7</v>
      </c>
      <c r="K87">
        <v>97.53</v>
      </c>
    </row>
    <row r="88" spans="1:11" x14ac:dyDescent="0.3">
      <c r="A88" t="s">
        <v>125</v>
      </c>
      <c r="B88" s="1">
        <v>45405</v>
      </c>
      <c r="C88" t="s">
        <v>12</v>
      </c>
      <c r="D88" t="s">
        <v>34</v>
      </c>
      <c r="E88" t="s">
        <v>18</v>
      </c>
      <c r="F88" t="s">
        <v>15</v>
      </c>
      <c r="G88" t="s">
        <v>53</v>
      </c>
      <c r="H88">
        <v>1</v>
      </c>
      <c r="I88">
        <v>0.2</v>
      </c>
      <c r="J88">
        <v>68.91</v>
      </c>
      <c r="K88">
        <v>3.46</v>
      </c>
    </row>
    <row r="89" spans="1:11" x14ac:dyDescent="0.3">
      <c r="A89" t="s">
        <v>126</v>
      </c>
      <c r="B89" s="1">
        <v>45406</v>
      </c>
      <c r="C89" t="s">
        <v>30</v>
      </c>
      <c r="D89" t="s">
        <v>50</v>
      </c>
      <c r="E89" t="s">
        <v>44</v>
      </c>
      <c r="F89" t="s">
        <v>15</v>
      </c>
      <c r="G89" t="s">
        <v>19</v>
      </c>
      <c r="H89">
        <v>9</v>
      </c>
      <c r="I89">
        <v>0.1</v>
      </c>
      <c r="J89">
        <v>2259.09</v>
      </c>
      <c r="K89">
        <v>584.23</v>
      </c>
    </row>
    <row r="90" spans="1:11" x14ac:dyDescent="0.3">
      <c r="A90" t="s">
        <v>127</v>
      </c>
      <c r="B90" s="1">
        <v>45406</v>
      </c>
      <c r="C90" t="s">
        <v>30</v>
      </c>
      <c r="D90" t="s">
        <v>31</v>
      </c>
      <c r="E90" t="s">
        <v>14</v>
      </c>
      <c r="F90" t="s">
        <v>15</v>
      </c>
      <c r="G90" t="s">
        <v>53</v>
      </c>
      <c r="H90">
        <v>7</v>
      </c>
      <c r="I90">
        <v>0.15</v>
      </c>
      <c r="J90">
        <v>1871.98</v>
      </c>
      <c r="K90">
        <v>145.02000000000001</v>
      </c>
    </row>
    <row r="91" spans="1:11" x14ac:dyDescent="0.3">
      <c r="A91" t="s">
        <v>128</v>
      </c>
      <c r="B91" s="1">
        <v>45408</v>
      </c>
      <c r="C91" t="s">
        <v>12</v>
      </c>
      <c r="D91" t="s">
        <v>13</v>
      </c>
      <c r="E91" t="s">
        <v>44</v>
      </c>
      <c r="F91" t="s">
        <v>28</v>
      </c>
      <c r="G91" t="s">
        <v>53</v>
      </c>
      <c r="H91">
        <v>1</v>
      </c>
      <c r="I91">
        <v>0</v>
      </c>
      <c r="J91">
        <v>106.38</v>
      </c>
      <c r="K91">
        <v>20.07</v>
      </c>
    </row>
    <row r="92" spans="1:11" x14ac:dyDescent="0.3">
      <c r="A92" t="s">
        <v>129</v>
      </c>
      <c r="B92" s="1">
        <v>45410</v>
      </c>
      <c r="C92" t="s">
        <v>12</v>
      </c>
      <c r="D92" t="s">
        <v>21</v>
      </c>
      <c r="E92" t="s">
        <v>14</v>
      </c>
      <c r="F92" t="s">
        <v>15</v>
      </c>
      <c r="G92" t="s">
        <v>32</v>
      </c>
      <c r="H92">
        <v>4</v>
      </c>
      <c r="I92">
        <v>0</v>
      </c>
      <c r="J92">
        <v>470.83</v>
      </c>
      <c r="K92">
        <v>110.79</v>
      </c>
    </row>
    <row r="93" spans="1:11" x14ac:dyDescent="0.3">
      <c r="A93" t="s">
        <v>130</v>
      </c>
      <c r="B93" s="1">
        <v>45411</v>
      </c>
      <c r="C93" t="s">
        <v>26</v>
      </c>
      <c r="D93" t="s">
        <v>55</v>
      </c>
      <c r="E93" t="s">
        <v>44</v>
      </c>
      <c r="F93" t="s">
        <v>15</v>
      </c>
      <c r="G93" t="s">
        <v>68</v>
      </c>
      <c r="H93">
        <v>8</v>
      </c>
      <c r="I93">
        <v>0.2</v>
      </c>
      <c r="J93">
        <v>552.47</v>
      </c>
      <c r="K93">
        <v>104.47</v>
      </c>
    </row>
    <row r="94" spans="1:11" x14ac:dyDescent="0.3">
      <c r="A94" t="s">
        <v>131</v>
      </c>
      <c r="B94" s="1">
        <v>45411</v>
      </c>
      <c r="C94" t="s">
        <v>12</v>
      </c>
      <c r="D94" t="s">
        <v>46</v>
      </c>
      <c r="E94" t="s">
        <v>14</v>
      </c>
      <c r="F94" t="s">
        <v>35</v>
      </c>
      <c r="G94" t="s">
        <v>53</v>
      </c>
      <c r="H94">
        <v>8</v>
      </c>
      <c r="I94">
        <v>0.1</v>
      </c>
      <c r="J94">
        <v>243.8</v>
      </c>
      <c r="K94">
        <v>9.11</v>
      </c>
    </row>
    <row r="95" spans="1:11" x14ac:dyDescent="0.3">
      <c r="A95" t="s">
        <v>132</v>
      </c>
      <c r="B95" s="1">
        <v>45415</v>
      </c>
      <c r="C95" t="s">
        <v>30</v>
      </c>
      <c r="D95" t="s">
        <v>40</v>
      </c>
      <c r="E95" t="s">
        <v>14</v>
      </c>
      <c r="F95" t="s">
        <v>35</v>
      </c>
      <c r="G95" t="s">
        <v>24</v>
      </c>
      <c r="H95">
        <v>5</v>
      </c>
      <c r="I95">
        <v>0.2</v>
      </c>
      <c r="J95">
        <v>537.71</v>
      </c>
      <c r="K95">
        <v>-1.83</v>
      </c>
    </row>
    <row r="96" spans="1:11" x14ac:dyDescent="0.3">
      <c r="A96" t="s">
        <v>133</v>
      </c>
      <c r="B96" s="1">
        <v>45418</v>
      </c>
      <c r="C96" t="s">
        <v>30</v>
      </c>
      <c r="D96" t="s">
        <v>31</v>
      </c>
      <c r="E96" t="s">
        <v>18</v>
      </c>
      <c r="F96" t="s">
        <v>15</v>
      </c>
      <c r="G96" t="s">
        <v>38</v>
      </c>
      <c r="H96">
        <v>6</v>
      </c>
      <c r="I96">
        <v>0.1</v>
      </c>
      <c r="J96">
        <v>1058.6500000000001</v>
      </c>
      <c r="K96">
        <v>97.49</v>
      </c>
    </row>
    <row r="97" spans="1:11" x14ac:dyDescent="0.3">
      <c r="A97" t="s">
        <v>134</v>
      </c>
      <c r="B97" s="1">
        <v>45419</v>
      </c>
      <c r="C97" t="s">
        <v>30</v>
      </c>
      <c r="D97" t="s">
        <v>50</v>
      </c>
      <c r="E97" t="s">
        <v>18</v>
      </c>
      <c r="F97" t="s">
        <v>28</v>
      </c>
      <c r="G97" t="s">
        <v>47</v>
      </c>
      <c r="H97">
        <v>1</v>
      </c>
      <c r="I97">
        <v>0.1</v>
      </c>
      <c r="J97">
        <v>258.63</v>
      </c>
      <c r="K97">
        <v>66.69</v>
      </c>
    </row>
    <row r="98" spans="1:11" x14ac:dyDescent="0.3">
      <c r="A98" t="s">
        <v>135</v>
      </c>
      <c r="B98" s="1">
        <v>45419</v>
      </c>
      <c r="C98" t="s">
        <v>12</v>
      </c>
      <c r="D98" t="s">
        <v>13</v>
      </c>
      <c r="E98" t="s">
        <v>14</v>
      </c>
      <c r="F98" t="s">
        <v>35</v>
      </c>
      <c r="G98" t="s">
        <v>38</v>
      </c>
      <c r="H98">
        <v>1</v>
      </c>
      <c r="I98">
        <v>0.15</v>
      </c>
      <c r="J98">
        <v>89.82</v>
      </c>
      <c r="K98">
        <v>5.14</v>
      </c>
    </row>
    <row r="99" spans="1:11" x14ac:dyDescent="0.3">
      <c r="A99" t="s">
        <v>136</v>
      </c>
      <c r="B99" s="1">
        <v>45421</v>
      </c>
      <c r="C99" t="s">
        <v>26</v>
      </c>
      <c r="D99" t="s">
        <v>43</v>
      </c>
      <c r="E99" t="s">
        <v>44</v>
      </c>
      <c r="F99" t="s">
        <v>15</v>
      </c>
      <c r="G99" t="s">
        <v>47</v>
      </c>
      <c r="H99">
        <v>7</v>
      </c>
      <c r="I99">
        <v>0</v>
      </c>
      <c r="J99">
        <v>915.78</v>
      </c>
      <c r="K99">
        <v>155.75</v>
      </c>
    </row>
    <row r="100" spans="1:11" x14ac:dyDescent="0.3">
      <c r="A100" t="s">
        <v>137</v>
      </c>
      <c r="B100" s="1">
        <v>45422</v>
      </c>
      <c r="C100" t="s">
        <v>12</v>
      </c>
      <c r="D100" t="s">
        <v>21</v>
      </c>
      <c r="E100" t="s">
        <v>44</v>
      </c>
      <c r="F100" t="s">
        <v>35</v>
      </c>
      <c r="G100" t="s">
        <v>24</v>
      </c>
      <c r="H100">
        <v>3</v>
      </c>
      <c r="I100">
        <v>0</v>
      </c>
      <c r="J100">
        <v>248.73</v>
      </c>
      <c r="K100">
        <v>39.020000000000003</v>
      </c>
    </row>
    <row r="101" spans="1:11" x14ac:dyDescent="0.3">
      <c r="A101" t="s">
        <v>138</v>
      </c>
      <c r="B101" s="1">
        <v>45422</v>
      </c>
      <c r="C101" t="s">
        <v>12</v>
      </c>
      <c r="D101" t="s">
        <v>46</v>
      </c>
      <c r="E101" t="s">
        <v>44</v>
      </c>
      <c r="F101" t="s">
        <v>28</v>
      </c>
      <c r="G101" t="s">
        <v>19</v>
      </c>
      <c r="H101">
        <v>9</v>
      </c>
      <c r="I101">
        <v>0.2</v>
      </c>
      <c r="J101">
        <v>682.89</v>
      </c>
      <c r="K101">
        <v>12.1</v>
      </c>
    </row>
    <row r="102" spans="1:11" x14ac:dyDescent="0.3">
      <c r="A102" t="s">
        <v>139</v>
      </c>
      <c r="B102" s="1">
        <v>45424</v>
      </c>
      <c r="C102" t="s">
        <v>30</v>
      </c>
      <c r="D102" t="s">
        <v>40</v>
      </c>
      <c r="E102" t="s">
        <v>23</v>
      </c>
      <c r="F102" t="s">
        <v>35</v>
      </c>
      <c r="G102" t="s">
        <v>47</v>
      </c>
      <c r="H102">
        <v>4</v>
      </c>
      <c r="I102">
        <v>0.1</v>
      </c>
      <c r="J102">
        <v>1131.28</v>
      </c>
      <c r="K102">
        <v>-88.23</v>
      </c>
    </row>
    <row r="103" spans="1:11" x14ac:dyDescent="0.3">
      <c r="A103" t="s">
        <v>140</v>
      </c>
      <c r="B103" s="1">
        <v>45428</v>
      </c>
      <c r="C103" t="s">
        <v>26</v>
      </c>
      <c r="D103" t="s">
        <v>55</v>
      </c>
      <c r="E103" t="s">
        <v>23</v>
      </c>
      <c r="F103" t="s">
        <v>28</v>
      </c>
      <c r="G103" t="s">
        <v>24</v>
      </c>
      <c r="H103">
        <v>9</v>
      </c>
      <c r="I103">
        <v>0.2</v>
      </c>
      <c r="J103">
        <v>1499.49</v>
      </c>
      <c r="K103">
        <v>137.47</v>
      </c>
    </row>
    <row r="104" spans="1:11" x14ac:dyDescent="0.3">
      <c r="A104" t="s">
        <v>141</v>
      </c>
      <c r="B104" s="1">
        <v>45428</v>
      </c>
      <c r="C104" t="s">
        <v>12</v>
      </c>
      <c r="D104" t="s">
        <v>34</v>
      </c>
      <c r="E104" t="s">
        <v>23</v>
      </c>
      <c r="F104" t="s">
        <v>15</v>
      </c>
      <c r="G104" t="s">
        <v>38</v>
      </c>
      <c r="H104">
        <v>7</v>
      </c>
      <c r="I104">
        <v>0.15</v>
      </c>
      <c r="J104">
        <v>535.30999999999995</v>
      </c>
      <c r="K104">
        <v>151</v>
      </c>
    </row>
    <row r="105" spans="1:11" x14ac:dyDescent="0.3">
      <c r="A105" t="s">
        <v>142</v>
      </c>
      <c r="B105" s="1">
        <v>45431</v>
      </c>
      <c r="C105" t="s">
        <v>26</v>
      </c>
      <c r="D105" t="s">
        <v>43</v>
      </c>
      <c r="E105" t="s">
        <v>23</v>
      </c>
      <c r="F105" t="s">
        <v>15</v>
      </c>
      <c r="G105" t="s">
        <v>24</v>
      </c>
      <c r="H105">
        <v>3</v>
      </c>
      <c r="I105">
        <v>0.1</v>
      </c>
      <c r="J105">
        <v>645.11</v>
      </c>
      <c r="K105">
        <v>58</v>
      </c>
    </row>
    <row r="106" spans="1:11" x14ac:dyDescent="0.3">
      <c r="A106" t="s">
        <v>143</v>
      </c>
      <c r="B106" s="1">
        <v>45432</v>
      </c>
      <c r="C106" t="s">
        <v>26</v>
      </c>
      <c r="D106" t="s">
        <v>55</v>
      </c>
      <c r="E106" t="s">
        <v>44</v>
      </c>
      <c r="F106" t="s">
        <v>35</v>
      </c>
      <c r="G106" t="s">
        <v>47</v>
      </c>
      <c r="H106">
        <v>1</v>
      </c>
      <c r="I106">
        <v>0.1</v>
      </c>
      <c r="J106">
        <v>138.04</v>
      </c>
      <c r="K106">
        <v>11.37</v>
      </c>
    </row>
    <row r="107" spans="1:11" x14ac:dyDescent="0.3">
      <c r="A107" t="s">
        <v>144</v>
      </c>
      <c r="B107" s="1">
        <v>45432</v>
      </c>
      <c r="C107" t="s">
        <v>30</v>
      </c>
      <c r="D107" t="s">
        <v>40</v>
      </c>
      <c r="E107" t="s">
        <v>14</v>
      </c>
      <c r="F107" t="s">
        <v>28</v>
      </c>
      <c r="G107" t="s">
        <v>68</v>
      </c>
      <c r="H107">
        <v>3</v>
      </c>
      <c r="I107">
        <v>0.15</v>
      </c>
      <c r="J107">
        <v>1003.54</v>
      </c>
      <c r="K107">
        <v>70.260000000000005</v>
      </c>
    </row>
    <row r="108" spans="1:11" x14ac:dyDescent="0.3">
      <c r="A108" t="s">
        <v>145</v>
      </c>
      <c r="B108" s="1">
        <v>45432</v>
      </c>
      <c r="C108" t="s">
        <v>30</v>
      </c>
      <c r="D108" t="s">
        <v>50</v>
      </c>
      <c r="E108" t="s">
        <v>18</v>
      </c>
      <c r="F108" t="s">
        <v>15</v>
      </c>
      <c r="G108" t="s">
        <v>16</v>
      </c>
      <c r="H108">
        <v>6</v>
      </c>
      <c r="I108">
        <v>0</v>
      </c>
      <c r="J108">
        <v>1188.26</v>
      </c>
      <c r="K108">
        <v>159.24</v>
      </c>
    </row>
    <row r="109" spans="1:11" x14ac:dyDescent="0.3">
      <c r="A109" t="s">
        <v>146</v>
      </c>
      <c r="B109" s="1">
        <v>45433</v>
      </c>
      <c r="C109" t="s">
        <v>12</v>
      </c>
      <c r="D109" t="s">
        <v>13</v>
      </c>
      <c r="E109" t="s">
        <v>18</v>
      </c>
      <c r="F109" t="s">
        <v>35</v>
      </c>
      <c r="G109" t="s">
        <v>47</v>
      </c>
      <c r="H109">
        <v>9</v>
      </c>
      <c r="I109">
        <v>0.2</v>
      </c>
      <c r="J109">
        <v>220.19</v>
      </c>
      <c r="K109">
        <v>2.38</v>
      </c>
    </row>
    <row r="110" spans="1:11" x14ac:dyDescent="0.3">
      <c r="A110" t="s">
        <v>147</v>
      </c>
      <c r="B110" s="1">
        <v>45435</v>
      </c>
      <c r="C110" t="s">
        <v>26</v>
      </c>
      <c r="D110" t="s">
        <v>55</v>
      </c>
      <c r="E110" t="s">
        <v>18</v>
      </c>
      <c r="F110" t="s">
        <v>28</v>
      </c>
      <c r="G110" t="s">
        <v>47</v>
      </c>
      <c r="H110">
        <v>2</v>
      </c>
      <c r="I110">
        <v>0.1</v>
      </c>
      <c r="J110">
        <v>254.35</v>
      </c>
      <c r="K110">
        <v>62.7</v>
      </c>
    </row>
    <row r="111" spans="1:11" x14ac:dyDescent="0.3">
      <c r="A111" t="s">
        <v>148</v>
      </c>
      <c r="B111" s="1">
        <v>45436</v>
      </c>
      <c r="C111" t="s">
        <v>12</v>
      </c>
      <c r="D111" t="s">
        <v>34</v>
      </c>
      <c r="E111" t="s">
        <v>14</v>
      </c>
      <c r="F111" t="s">
        <v>35</v>
      </c>
      <c r="G111" t="s">
        <v>53</v>
      </c>
      <c r="H111">
        <v>5</v>
      </c>
      <c r="I111">
        <v>0.1</v>
      </c>
      <c r="J111">
        <v>389.45</v>
      </c>
      <c r="K111">
        <v>47.82</v>
      </c>
    </row>
    <row r="112" spans="1:11" x14ac:dyDescent="0.3">
      <c r="A112" t="s">
        <v>149</v>
      </c>
      <c r="B112" s="1">
        <v>45437</v>
      </c>
      <c r="C112" t="s">
        <v>12</v>
      </c>
      <c r="D112" t="s">
        <v>21</v>
      </c>
      <c r="E112" t="s">
        <v>14</v>
      </c>
      <c r="F112" t="s">
        <v>28</v>
      </c>
      <c r="G112" t="s">
        <v>47</v>
      </c>
      <c r="H112">
        <v>8</v>
      </c>
      <c r="I112">
        <v>0.2</v>
      </c>
      <c r="J112">
        <v>280.56</v>
      </c>
      <c r="K112">
        <v>8.61</v>
      </c>
    </row>
    <row r="113" spans="1:11" x14ac:dyDescent="0.3">
      <c r="A113" t="s">
        <v>150</v>
      </c>
      <c r="B113" s="1">
        <v>45437</v>
      </c>
      <c r="C113" t="s">
        <v>26</v>
      </c>
      <c r="D113" t="s">
        <v>55</v>
      </c>
      <c r="E113" t="s">
        <v>23</v>
      </c>
      <c r="F113" t="s">
        <v>28</v>
      </c>
      <c r="G113" t="s">
        <v>68</v>
      </c>
      <c r="H113">
        <v>3</v>
      </c>
      <c r="I113">
        <v>0</v>
      </c>
      <c r="J113">
        <v>510.42</v>
      </c>
      <c r="K113">
        <v>9.15</v>
      </c>
    </row>
    <row r="114" spans="1:11" x14ac:dyDescent="0.3">
      <c r="A114" t="s">
        <v>151</v>
      </c>
      <c r="B114" s="1">
        <v>45438</v>
      </c>
      <c r="C114" t="s">
        <v>26</v>
      </c>
      <c r="D114" t="s">
        <v>55</v>
      </c>
      <c r="E114" t="s">
        <v>44</v>
      </c>
      <c r="F114" t="s">
        <v>35</v>
      </c>
      <c r="G114" t="s">
        <v>24</v>
      </c>
      <c r="H114">
        <v>3</v>
      </c>
      <c r="I114">
        <v>0.1</v>
      </c>
      <c r="J114">
        <v>633.36</v>
      </c>
      <c r="K114">
        <v>-22.77</v>
      </c>
    </row>
    <row r="115" spans="1:11" x14ac:dyDescent="0.3">
      <c r="A115" t="s">
        <v>152</v>
      </c>
      <c r="B115" s="1">
        <v>45438</v>
      </c>
      <c r="C115" t="s">
        <v>30</v>
      </c>
      <c r="D115" t="s">
        <v>31</v>
      </c>
      <c r="E115" t="s">
        <v>23</v>
      </c>
      <c r="F115" t="s">
        <v>28</v>
      </c>
      <c r="G115" t="s">
        <v>38</v>
      </c>
      <c r="H115">
        <v>2</v>
      </c>
      <c r="I115">
        <v>0.2</v>
      </c>
      <c r="J115">
        <v>409.74</v>
      </c>
      <c r="K115">
        <v>10.210000000000001</v>
      </c>
    </row>
    <row r="116" spans="1:11" x14ac:dyDescent="0.3">
      <c r="A116" t="s">
        <v>153</v>
      </c>
      <c r="B116" s="1">
        <v>45439</v>
      </c>
      <c r="C116" t="s">
        <v>26</v>
      </c>
      <c r="D116" t="s">
        <v>27</v>
      </c>
      <c r="E116" t="s">
        <v>44</v>
      </c>
      <c r="F116" t="s">
        <v>35</v>
      </c>
      <c r="G116" t="s">
        <v>16</v>
      </c>
      <c r="H116">
        <v>5</v>
      </c>
      <c r="I116">
        <v>0.15</v>
      </c>
      <c r="J116">
        <v>918.32</v>
      </c>
      <c r="K116">
        <v>145.77000000000001</v>
      </c>
    </row>
    <row r="117" spans="1:11" x14ac:dyDescent="0.3">
      <c r="A117" t="s">
        <v>154</v>
      </c>
      <c r="B117" s="1">
        <v>45439</v>
      </c>
      <c r="C117" t="s">
        <v>12</v>
      </c>
      <c r="D117" t="s">
        <v>13</v>
      </c>
      <c r="E117" t="s">
        <v>23</v>
      </c>
      <c r="F117" t="s">
        <v>35</v>
      </c>
      <c r="G117" t="s">
        <v>38</v>
      </c>
      <c r="H117">
        <v>7</v>
      </c>
      <c r="I117">
        <v>0.1</v>
      </c>
      <c r="J117">
        <v>674.66</v>
      </c>
      <c r="K117">
        <v>112.38</v>
      </c>
    </row>
    <row r="118" spans="1:11" x14ac:dyDescent="0.3">
      <c r="A118" t="s">
        <v>155</v>
      </c>
      <c r="B118" s="1">
        <v>45440</v>
      </c>
      <c r="C118" t="s">
        <v>12</v>
      </c>
      <c r="D118" t="s">
        <v>34</v>
      </c>
      <c r="E118" t="s">
        <v>18</v>
      </c>
      <c r="F118" t="s">
        <v>28</v>
      </c>
      <c r="G118" t="s">
        <v>47</v>
      </c>
      <c r="H118">
        <v>9</v>
      </c>
      <c r="I118">
        <v>0</v>
      </c>
      <c r="J118">
        <v>638.29</v>
      </c>
      <c r="K118">
        <v>77.19</v>
      </c>
    </row>
    <row r="119" spans="1:11" x14ac:dyDescent="0.3">
      <c r="A119" t="s">
        <v>156</v>
      </c>
      <c r="B119" s="1">
        <v>45442</v>
      </c>
      <c r="C119" t="s">
        <v>12</v>
      </c>
      <c r="D119" t="s">
        <v>46</v>
      </c>
      <c r="E119" t="s">
        <v>44</v>
      </c>
      <c r="F119" t="s">
        <v>35</v>
      </c>
      <c r="G119" t="s">
        <v>19</v>
      </c>
      <c r="H119">
        <v>4</v>
      </c>
      <c r="I119">
        <v>0</v>
      </c>
      <c r="J119">
        <v>165.16</v>
      </c>
      <c r="K119">
        <v>32.64</v>
      </c>
    </row>
    <row r="120" spans="1:11" x14ac:dyDescent="0.3">
      <c r="A120" t="s">
        <v>157</v>
      </c>
      <c r="B120" s="1">
        <v>45443</v>
      </c>
      <c r="C120" t="s">
        <v>30</v>
      </c>
      <c r="D120" t="s">
        <v>50</v>
      </c>
      <c r="E120" t="s">
        <v>14</v>
      </c>
      <c r="F120" t="s">
        <v>28</v>
      </c>
      <c r="G120" t="s">
        <v>19</v>
      </c>
      <c r="H120">
        <v>7</v>
      </c>
      <c r="I120">
        <v>0.05</v>
      </c>
      <c r="J120">
        <v>1846.22</v>
      </c>
      <c r="K120">
        <v>104.44</v>
      </c>
    </row>
    <row r="121" spans="1:11" x14ac:dyDescent="0.3">
      <c r="A121" t="s">
        <v>158</v>
      </c>
      <c r="B121" s="1">
        <v>45444</v>
      </c>
      <c r="C121" t="s">
        <v>12</v>
      </c>
      <c r="D121" t="s">
        <v>21</v>
      </c>
      <c r="E121" t="s">
        <v>23</v>
      </c>
      <c r="F121" t="s">
        <v>35</v>
      </c>
      <c r="G121" t="s">
        <v>24</v>
      </c>
      <c r="H121">
        <v>2</v>
      </c>
      <c r="I121">
        <v>0</v>
      </c>
      <c r="J121">
        <v>201.29</v>
      </c>
      <c r="K121">
        <v>28.84</v>
      </c>
    </row>
    <row r="122" spans="1:11" x14ac:dyDescent="0.3">
      <c r="A122" t="s">
        <v>159</v>
      </c>
      <c r="B122" s="1">
        <v>45444</v>
      </c>
      <c r="C122" t="s">
        <v>12</v>
      </c>
      <c r="D122" t="s">
        <v>21</v>
      </c>
      <c r="E122" t="s">
        <v>14</v>
      </c>
      <c r="F122" t="s">
        <v>28</v>
      </c>
      <c r="G122" t="s">
        <v>19</v>
      </c>
      <c r="H122">
        <v>4</v>
      </c>
      <c r="I122">
        <v>0.15</v>
      </c>
      <c r="J122">
        <v>294.27</v>
      </c>
      <c r="K122">
        <v>20.73</v>
      </c>
    </row>
    <row r="123" spans="1:11" x14ac:dyDescent="0.3">
      <c r="A123" t="s">
        <v>160</v>
      </c>
      <c r="B123" s="1">
        <v>45445</v>
      </c>
      <c r="C123" t="s">
        <v>12</v>
      </c>
      <c r="D123" t="s">
        <v>34</v>
      </c>
      <c r="E123" t="s">
        <v>23</v>
      </c>
      <c r="F123" t="s">
        <v>35</v>
      </c>
      <c r="G123" t="s">
        <v>32</v>
      </c>
      <c r="H123">
        <v>8</v>
      </c>
      <c r="I123">
        <v>0</v>
      </c>
      <c r="J123">
        <v>526.12</v>
      </c>
      <c r="K123">
        <v>65.66</v>
      </c>
    </row>
    <row r="124" spans="1:11" x14ac:dyDescent="0.3">
      <c r="A124" t="s">
        <v>161</v>
      </c>
      <c r="B124" s="1">
        <v>45447</v>
      </c>
      <c r="C124" t="s">
        <v>12</v>
      </c>
      <c r="D124" t="s">
        <v>46</v>
      </c>
      <c r="E124" t="s">
        <v>14</v>
      </c>
      <c r="F124" t="s">
        <v>35</v>
      </c>
      <c r="G124" t="s">
        <v>24</v>
      </c>
      <c r="H124">
        <v>2</v>
      </c>
      <c r="I124">
        <v>0.1</v>
      </c>
      <c r="J124">
        <v>91.74</v>
      </c>
      <c r="K124">
        <v>22.92</v>
      </c>
    </row>
    <row r="125" spans="1:11" x14ac:dyDescent="0.3">
      <c r="A125" t="s">
        <v>162</v>
      </c>
      <c r="B125" s="1">
        <v>45449</v>
      </c>
      <c r="C125" t="s">
        <v>12</v>
      </c>
      <c r="D125" t="s">
        <v>13</v>
      </c>
      <c r="E125" t="s">
        <v>23</v>
      </c>
      <c r="F125" t="s">
        <v>15</v>
      </c>
      <c r="G125" t="s">
        <v>53</v>
      </c>
      <c r="H125">
        <v>7</v>
      </c>
      <c r="I125">
        <v>0.2</v>
      </c>
      <c r="J125">
        <v>568.45000000000005</v>
      </c>
      <c r="K125">
        <v>33.71</v>
      </c>
    </row>
    <row r="126" spans="1:11" x14ac:dyDescent="0.3">
      <c r="A126" t="s">
        <v>163</v>
      </c>
      <c r="B126" s="1">
        <v>45450</v>
      </c>
      <c r="C126" t="s">
        <v>26</v>
      </c>
      <c r="D126" t="s">
        <v>55</v>
      </c>
      <c r="E126" t="s">
        <v>14</v>
      </c>
      <c r="F126" t="s">
        <v>28</v>
      </c>
      <c r="G126" t="s">
        <v>19</v>
      </c>
      <c r="H126">
        <v>4</v>
      </c>
      <c r="I126">
        <v>0.05</v>
      </c>
      <c r="J126">
        <v>839.89</v>
      </c>
      <c r="K126">
        <v>177.94</v>
      </c>
    </row>
    <row r="127" spans="1:11" x14ac:dyDescent="0.3">
      <c r="A127" t="s">
        <v>164</v>
      </c>
      <c r="B127" s="1">
        <v>45451</v>
      </c>
      <c r="C127" t="s">
        <v>12</v>
      </c>
      <c r="D127" t="s">
        <v>21</v>
      </c>
      <c r="E127" t="s">
        <v>44</v>
      </c>
      <c r="F127" t="s">
        <v>28</v>
      </c>
      <c r="G127" t="s">
        <v>38</v>
      </c>
      <c r="H127">
        <v>3</v>
      </c>
      <c r="I127">
        <v>0.2</v>
      </c>
      <c r="J127">
        <v>205.37</v>
      </c>
      <c r="K127">
        <v>25.14</v>
      </c>
    </row>
    <row r="128" spans="1:11" x14ac:dyDescent="0.3">
      <c r="A128" t="s">
        <v>165</v>
      </c>
      <c r="B128" s="1">
        <v>45452</v>
      </c>
      <c r="C128" t="s">
        <v>30</v>
      </c>
      <c r="D128" t="s">
        <v>50</v>
      </c>
      <c r="E128" t="s">
        <v>23</v>
      </c>
      <c r="F128" t="s">
        <v>35</v>
      </c>
      <c r="G128" t="s">
        <v>32</v>
      </c>
      <c r="H128">
        <v>3</v>
      </c>
      <c r="I128">
        <v>0.15</v>
      </c>
      <c r="J128">
        <v>1057.49</v>
      </c>
      <c r="K128">
        <v>133.36000000000001</v>
      </c>
    </row>
    <row r="129" spans="1:11" x14ac:dyDescent="0.3">
      <c r="A129" t="s">
        <v>166</v>
      </c>
      <c r="B129" s="1">
        <v>45452</v>
      </c>
      <c r="C129" t="s">
        <v>26</v>
      </c>
      <c r="D129" t="s">
        <v>55</v>
      </c>
      <c r="E129" t="s">
        <v>44</v>
      </c>
      <c r="F129" t="s">
        <v>28</v>
      </c>
      <c r="G129" t="s">
        <v>38</v>
      </c>
      <c r="H129">
        <v>6</v>
      </c>
      <c r="I129">
        <v>0.1</v>
      </c>
      <c r="J129">
        <v>1416.81</v>
      </c>
      <c r="K129">
        <v>58.1</v>
      </c>
    </row>
    <row r="130" spans="1:11" x14ac:dyDescent="0.3">
      <c r="A130" t="s">
        <v>167</v>
      </c>
      <c r="B130" s="1">
        <v>45453</v>
      </c>
      <c r="C130" t="s">
        <v>12</v>
      </c>
      <c r="D130" t="s">
        <v>21</v>
      </c>
      <c r="E130" t="s">
        <v>18</v>
      </c>
      <c r="F130" t="s">
        <v>28</v>
      </c>
      <c r="G130" t="s">
        <v>68</v>
      </c>
      <c r="H130">
        <v>5</v>
      </c>
      <c r="I130">
        <v>0.2</v>
      </c>
      <c r="J130">
        <v>175.8</v>
      </c>
      <c r="K130">
        <v>25.57</v>
      </c>
    </row>
    <row r="131" spans="1:11" x14ac:dyDescent="0.3">
      <c r="A131" t="s">
        <v>168</v>
      </c>
      <c r="B131" s="1">
        <v>45456</v>
      </c>
      <c r="C131" t="s">
        <v>30</v>
      </c>
      <c r="D131" t="s">
        <v>50</v>
      </c>
      <c r="E131" t="s">
        <v>44</v>
      </c>
      <c r="F131" t="s">
        <v>15</v>
      </c>
      <c r="G131" t="s">
        <v>32</v>
      </c>
      <c r="H131">
        <v>5</v>
      </c>
      <c r="I131">
        <v>0</v>
      </c>
      <c r="J131">
        <v>682.99</v>
      </c>
      <c r="K131">
        <v>118.07</v>
      </c>
    </row>
    <row r="132" spans="1:11" x14ac:dyDescent="0.3">
      <c r="A132" t="s">
        <v>169</v>
      </c>
      <c r="B132" s="1">
        <v>45459</v>
      </c>
      <c r="C132" t="s">
        <v>30</v>
      </c>
      <c r="D132" t="s">
        <v>40</v>
      </c>
      <c r="E132" t="s">
        <v>14</v>
      </c>
      <c r="F132" t="s">
        <v>28</v>
      </c>
      <c r="G132" t="s">
        <v>32</v>
      </c>
      <c r="H132">
        <v>2</v>
      </c>
      <c r="I132">
        <v>0</v>
      </c>
      <c r="J132">
        <v>215.99</v>
      </c>
      <c r="K132">
        <v>42.07</v>
      </c>
    </row>
    <row r="133" spans="1:11" x14ac:dyDescent="0.3">
      <c r="A133" t="s">
        <v>170</v>
      </c>
      <c r="B133" s="1">
        <v>45459</v>
      </c>
      <c r="C133" t="s">
        <v>12</v>
      </c>
      <c r="D133" t="s">
        <v>46</v>
      </c>
      <c r="E133" t="s">
        <v>23</v>
      </c>
      <c r="F133" t="s">
        <v>15</v>
      </c>
      <c r="G133" t="s">
        <v>47</v>
      </c>
      <c r="H133">
        <v>1</v>
      </c>
      <c r="I133">
        <v>0.1</v>
      </c>
      <c r="J133">
        <v>86.67</v>
      </c>
      <c r="K133">
        <v>12.83</v>
      </c>
    </row>
    <row r="134" spans="1:11" x14ac:dyDescent="0.3">
      <c r="A134" t="s">
        <v>171</v>
      </c>
      <c r="B134" s="1">
        <v>45461</v>
      </c>
      <c r="C134" t="s">
        <v>12</v>
      </c>
      <c r="D134" t="s">
        <v>46</v>
      </c>
      <c r="E134" t="s">
        <v>14</v>
      </c>
      <c r="F134" t="s">
        <v>35</v>
      </c>
      <c r="G134" t="s">
        <v>68</v>
      </c>
      <c r="H134">
        <v>6</v>
      </c>
      <c r="I134">
        <v>0.05</v>
      </c>
      <c r="J134">
        <v>488.25</v>
      </c>
      <c r="K134">
        <v>96.5</v>
      </c>
    </row>
    <row r="135" spans="1:11" x14ac:dyDescent="0.3">
      <c r="A135" t="s">
        <v>172</v>
      </c>
      <c r="B135" s="1">
        <v>45461</v>
      </c>
      <c r="C135" t="s">
        <v>12</v>
      </c>
      <c r="D135" t="s">
        <v>13</v>
      </c>
      <c r="E135" t="s">
        <v>14</v>
      </c>
      <c r="F135" t="s">
        <v>15</v>
      </c>
      <c r="G135" t="s">
        <v>38</v>
      </c>
      <c r="H135">
        <v>3</v>
      </c>
      <c r="I135">
        <v>0.2</v>
      </c>
      <c r="J135">
        <v>201.22</v>
      </c>
      <c r="K135">
        <v>-4.4400000000000004</v>
      </c>
    </row>
    <row r="136" spans="1:11" x14ac:dyDescent="0.3">
      <c r="A136" t="s">
        <v>173</v>
      </c>
      <c r="B136" s="1">
        <v>45462</v>
      </c>
      <c r="C136" t="s">
        <v>30</v>
      </c>
      <c r="D136" t="s">
        <v>50</v>
      </c>
      <c r="E136" t="s">
        <v>44</v>
      </c>
      <c r="F136" t="s">
        <v>35</v>
      </c>
      <c r="G136" t="s">
        <v>16</v>
      </c>
      <c r="H136">
        <v>6</v>
      </c>
      <c r="I136">
        <v>0.15</v>
      </c>
      <c r="J136">
        <v>1016.6</v>
      </c>
      <c r="K136">
        <v>104.2</v>
      </c>
    </row>
    <row r="137" spans="1:11" x14ac:dyDescent="0.3">
      <c r="A137" t="s">
        <v>174</v>
      </c>
      <c r="B137" s="1">
        <v>45463</v>
      </c>
      <c r="C137" t="s">
        <v>26</v>
      </c>
      <c r="D137" t="s">
        <v>27</v>
      </c>
      <c r="E137" t="s">
        <v>14</v>
      </c>
      <c r="F137" t="s">
        <v>28</v>
      </c>
      <c r="G137" t="s">
        <v>68</v>
      </c>
      <c r="H137">
        <v>6</v>
      </c>
      <c r="I137">
        <v>0.15</v>
      </c>
      <c r="J137">
        <v>960.78</v>
      </c>
      <c r="K137">
        <v>69.599999999999994</v>
      </c>
    </row>
    <row r="138" spans="1:11" x14ac:dyDescent="0.3">
      <c r="A138" t="s">
        <v>175</v>
      </c>
      <c r="B138" s="1">
        <v>45466</v>
      </c>
      <c r="C138" t="s">
        <v>26</v>
      </c>
      <c r="D138" t="s">
        <v>43</v>
      </c>
      <c r="E138" t="s">
        <v>23</v>
      </c>
      <c r="F138" t="s">
        <v>15</v>
      </c>
      <c r="G138" t="s">
        <v>19</v>
      </c>
      <c r="H138">
        <v>6</v>
      </c>
      <c r="I138">
        <v>0.15</v>
      </c>
      <c r="J138">
        <v>1027.26</v>
      </c>
      <c r="K138">
        <v>38.76</v>
      </c>
    </row>
    <row r="139" spans="1:11" x14ac:dyDescent="0.3">
      <c r="A139" t="s">
        <v>176</v>
      </c>
      <c r="B139" s="1">
        <v>45467</v>
      </c>
      <c r="C139" t="s">
        <v>26</v>
      </c>
      <c r="D139" t="s">
        <v>27</v>
      </c>
      <c r="E139" t="s">
        <v>18</v>
      </c>
      <c r="F139" t="s">
        <v>28</v>
      </c>
      <c r="G139" t="s">
        <v>19</v>
      </c>
      <c r="H139">
        <v>3</v>
      </c>
      <c r="I139">
        <v>0.05</v>
      </c>
      <c r="J139">
        <v>855.21</v>
      </c>
      <c r="K139">
        <v>205.08</v>
      </c>
    </row>
    <row r="140" spans="1:11" x14ac:dyDescent="0.3">
      <c r="A140" t="s">
        <v>177</v>
      </c>
      <c r="B140" s="1">
        <v>45468</v>
      </c>
      <c r="C140" t="s">
        <v>26</v>
      </c>
      <c r="D140" t="s">
        <v>55</v>
      </c>
      <c r="E140" t="s">
        <v>14</v>
      </c>
      <c r="F140" t="s">
        <v>15</v>
      </c>
      <c r="G140" t="s">
        <v>68</v>
      </c>
      <c r="H140">
        <v>9</v>
      </c>
      <c r="I140">
        <v>0.2</v>
      </c>
      <c r="J140">
        <v>1300.5</v>
      </c>
      <c r="K140">
        <v>94.18</v>
      </c>
    </row>
    <row r="141" spans="1:11" x14ac:dyDescent="0.3">
      <c r="A141" t="s">
        <v>178</v>
      </c>
      <c r="B141" s="1">
        <v>45469</v>
      </c>
      <c r="C141" t="s">
        <v>12</v>
      </c>
      <c r="D141" t="s">
        <v>46</v>
      </c>
      <c r="E141" t="s">
        <v>14</v>
      </c>
      <c r="F141" t="s">
        <v>28</v>
      </c>
      <c r="G141" t="s">
        <v>47</v>
      </c>
      <c r="H141">
        <v>1</v>
      </c>
      <c r="I141">
        <v>0.05</v>
      </c>
      <c r="J141">
        <v>121.37</v>
      </c>
      <c r="K141">
        <v>25.85</v>
      </c>
    </row>
    <row r="142" spans="1:11" x14ac:dyDescent="0.3">
      <c r="A142" t="s">
        <v>179</v>
      </c>
      <c r="B142" s="1">
        <v>45470</v>
      </c>
      <c r="C142" t="s">
        <v>30</v>
      </c>
      <c r="D142" t="s">
        <v>50</v>
      </c>
      <c r="E142" t="s">
        <v>23</v>
      </c>
      <c r="F142" t="s">
        <v>15</v>
      </c>
      <c r="G142" t="s">
        <v>38</v>
      </c>
      <c r="H142">
        <v>5</v>
      </c>
      <c r="I142">
        <v>0.05</v>
      </c>
      <c r="J142">
        <v>1095.96</v>
      </c>
      <c r="K142">
        <v>274.07</v>
      </c>
    </row>
    <row r="143" spans="1:11" x14ac:dyDescent="0.3">
      <c r="A143" t="s">
        <v>180</v>
      </c>
      <c r="B143" s="1">
        <v>45471</v>
      </c>
      <c r="C143" t="s">
        <v>30</v>
      </c>
      <c r="D143" t="s">
        <v>31</v>
      </c>
      <c r="E143" t="s">
        <v>18</v>
      </c>
      <c r="F143" t="s">
        <v>28</v>
      </c>
      <c r="G143" t="s">
        <v>68</v>
      </c>
      <c r="H143">
        <v>8</v>
      </c>
      <c r="I143">
        <v>0.15</v>
      </c>
      <c r="J143">
        <v>1916.06</v>
      </c>
      <c r="K143">
        <v>359.67</v>
      </c>
    </row>
    <row r="144" spans="1:11" x14ac:dyDescent="0.3">
      <c r="A144" t="s">
        <v>181</v>
      </c>
      <c r="B144" s="1">
        <v>45473</v>
      </c>
      <c r="C144" t="s">
        <v>30</v>
      </c>
      <c r="D144" t="s">
        <v>40</v>
      </c>
      <c r="E144" t="s">
        <v>14</v>
      </c>
      <c r="F144" t="s">
        <v>15</v>
      </c>
      <c r="G144" t="s">
        <v>24</v>
      </c>
      <c r="H144">
        <v>8</v>
      </c>
      <c r="I144">
        <v>0.05</v>
      </c>
      <c r="J144">
        <v>2237.21</v>
      </c>
      <c r="K144">
        <v>772.24</v>
      </c>
    </row>
    <row r="145" spans="1:11" x14ac:dyDescent="0.3">
      <c r="A145" t="s">
        <v>182</v>
      </c>
      <c r="B145" s="1">
        <v>45473</v>
      </c>
      <c r="C145" t="s">
        <v>30</v>
      </c>
      <c r="D145" t="s">
        <v>31</v>
      </c>
      <c r="E145" t="s">
        <v>18</v>
      </c>
      <c r="F145" t="s">
        <v>15</v>
      </c>
      <c r="G145" t="s">
        <v>47</v>
      </c>
      <c r="H145">
        <v>9</v>
      </c>
      <c r="I145">
        <v>0.3</v>
      </c>
      <c r="J145">
        <v>1065.3699999999999</v>
      </c>
      <c r="K145">
        <v>190.34</v>
      </c>
    </row>
    <row r="146" spans="1:11" x14ac:dyDescent="0.3">
      <c r="A146" t="s">
        <v>183</v>
      </c>
      <c r="B146" s="1">
        <v>45473</v>
      </c>
      <c r="C146" t="s">
        <v>30</v>
      </c>
      <c r="D146" t="s">
        <v>40</v>
      </c>
      <c r="E146" t="s">
        <v>14</v>
      </c>
      <c r="F146" t="s">
        <v>28</v>
      </c>
      <c r="G146" t="s">
        <v>53</v>
      </c>
      <c r="H146">
        <v>3</v>
      </c>
      <c r="I146">
        <v>0.05</v>
      </c>
      <c r="J146">
        <v>776.35</v>
      </c>
      <c r="K146">
        <v>116.49</v>
      </c>
    </row>
    <row r="147" spans="1:11" x14ac:dyDescent="0.3">
      <c r="A147" t="s">
        <v>184</v>
      </c>
      <c r="B147" s="1">
        <v>45474</v>
      </c>
      <c r="C147" t="s">
        <v>26</v>
      </c>
      <c r="D147" t="s">
        <v>43</v>
      </c>
      <c r="E147" t="s">
        <v>44</v>
      </c>
      <c r="F147" t="s">
        <v>15</v>
      </c>
      <c r="G147" t="s">
        <v>19</v>
      </c>
      <c r="H147">
        <v>2</v>
      </c>
      <c r="I147">
        <v>0.2</v>
      </c>
      <c r="J147">
        <v>432.69</v>
      </c>
      <c r="K147">
        <v>1.61</v>
      </c>
    </row>
    <row r="148" spans="1:11" x14ac:dyDescent="0.3">
      <c r="A148" t="s">
        <v>185</v>
      </c>
      <c r="B148" s="1">
        <v>45478</v>
      </c>
      <c r="C148" t="s">
        <v>26</v>
      </c>
      <c r="D148" t="s">
        <v>55</v>
      </c>
      <c r="E148" t="s">
        <v>44</v>
      </c>
      <c r="F148" t="s">
        <v>15</v>
      </c>
      <c r="G148" t="s">
        <v>68</v>
      </c>
      <c r="H148">
        <v>7</v>
      </c>
      <c r="I148">
        <v>0.15</v>
      </c>
      <c r="J148">
        <v>783.48</v>
      </c>
      <c r="K148">
        <v>127.92</v>
      </c>
    </row>
    <row r="149" spans="1:11" x14ac:dyDescent="0.3">
      <c r="A149" t="s">
        <v>186</v>
      </c>
      <c r="B149" s="1">
        <v>45478</v>
      </c>
      <c r="C149" t="s">
        <v>12</v>
      </c>
      <c r="D149" t="s">
        <v>46</v>
      </c>
      <c r="E149" t="s">
        <v>14</v>
      </c>
      <c r="F149" t="s">
        <v>28</v>
      </c>
      <c r="G149" t="s">
        <v>68</v>
      </c>
      <c r="H149">
        <v>8</v>
      </c>
      <c r="I149">
        <v>0.2</v>
      </c>
      <c r="J149">
        <v>475.43</v>
      </c>
      <c r="K149">
        <v>56.29</v>
      </c>
    </row>
    <row r="150" spans="1:11" x14ac:dyDescent="0.3">
      <c r="A150" t="s">
        <v>187</v>
      </c>
      <c r="B150" s="1">
        <v>45479</v>
      </c>
      <c r="C150" t="s">
        <v>26</v>
      </c>
      <c r="D150" t="s">
        <v>43</v>
      </c>
      <c r="E150" t="s">
        <v>18</v>
      </c>
      <c r="F150" t="s">
        <v>15</v>
      </c>
      <c r="G150" t="s">
        <v>24</v>
      </c>
      <c r="H150">
        <v>4</v>
      </c>
      <c r="I150">
        <v>0.1</v>
      </c>
      <c r="J150">
        <v>976</v>
      </c>
      <c r="K150">
        <v>86.08</v>
      </c>
    </row>
    <row r="151" spans="1:11" x14ac:dyDescent="0.3">
      <c r="A151" t="s">
        <v>188</v>
      </c>
      <c r="B151" s="1">
        <v>45485</v>
      </c>
      <c r="C151" t="s">
        <v>12</v>
      </c>
      <c r="D151" t="s">
        <v>34</v>
      </c>
      <c r="E151" t="s">
        <v>44</v>
      </c>
      <c r="F151" t="s">
        <v>15</v>
      </c>
      <c r="G151" t="s">
        <v>32</v>
      </c>
      <c r="H151">
        <v>3</v>
      </c>
      <c r="I151">
        <v>0.05</v>
      </c>
      <c r="J151">
        <v>281.58</v>
      </c>
      <c r="K151">
        <v>85.71</v>
      </c>
    </row>
    <row r="152" spans="1:11" x14ac:dyDescent="0.3">
      <c r="A152" t="s">
        <v>189</v>
      </c>
      <c r="B152" s="1">
        <v>45486</v>
      </c>
      <c r="C152" t="s">
        <v>30</v>
      </c>
      <c r="D152" t="s">
        <v>40</v>
      </c>
      <c r="E152" t="s">
        <v>44</v>
      </c>
      <c r="F152" t="s">
        <v>28</v>
      </c>
      <c r="G152" t="s">
        <v>68</v>
      </c>
      <c r="H152">
        <v>8</v>
      </c>
      <c r="I152">
        <v>0.1</v>
      </c>
      <c r="J152">
        <v>1524.31</v>
      </c>
      <c r="K152">
        <v>182.96</v>
      </c>
    </row>
    <row r="153" spans="1:11" x14ac:dyDescent="0.3">
      <c r="A153" t="s">
        <v>190</v>
      </c>
      <c r="B153" s="1">
        <v>45491</v>
      </c>
      <c r="C153" t="s">
        <v>26</v>
      </c>
      <c r="D153" t="s">
        <v>27</v>
      </c>
      <c r="E153" t="s">
        <v>44</v>
      </c>
      <c r="F153" t="s">
        <v>28</v>
      </c>
      <c r="G153" t="s">
        <v>32</v>
      </c>
      <c r="H153">
        <v>1</v>
      </c>
      <c r="I153">
        <v>0.05</v>
      </c>
      <c r="J153">
        <v>165.05</v>
      </c>
      <c r="K153">
        <v>23.79</v>
      </c>
    </row>
    <row r="154" spans="1:11" x14ac:dyDescent="0.3">
      <c r="A154" t="s">
        <v>191</v>
      </c>
      <c r="B154" s="1">
        <v>45492</v>
      </c>
      <c r="C154" t="s">
        <v>12</v>
      </c>
      <c r="D154" t="s">
        <v>13</v>
      </c>
      <c r="E154" t="s">
        <v>23</v>
      </c>
      <c r="F154" t="s">
        <v>28</v>
      </c>
      <c r="G154" t="s">
        <v>68</v>
      </c>
      <c r="H154">
        <v>2</v>
      </c>
      <c r="I154">
        <v>0.1</v>
      </c>
      <c r="J154">
        <v>122.81</v>
      </c>
      <c r="K154">
        <v>18.77</v>
      </c>
    </row>
    <row r="155" spans="1:11" x14ac:dyDescent="0.3">
      <c r="A155" t="s">
        <v>192</v>
      </c>
      <c r="B155" s="1">
        <v>45492</v>
      </c>
      <c r="C155" t="s">
        <v>12</v>
      </c>
      <c r="D155" t="s">
        <v>21</v>
      </c>
      <c r="E155" t="s">
        <v>23</v>
      </c>
      <c r="F155" t="s">
        <v>15</v>
      </c>
      <c r="G155" t="s">
        <v>38</v>
      </c>
      <c r="H155">
        <v>8</v>
      </c>
      <c r="I155">
        <v>0.3</v>
      </c>
      <c r="J155">
        <v>288</v>
      </c>
      <c r="K155">
        <v>10.97</v>
      </c>
    </row>
    <row r="156" spans="1:11" x14ac:dyDescent="0.3">
      <c r="A156" t="s">
        <v>193</v>
      </c>
      <c r="B156" s="1">
        <v>45493</v>
      </c>
      <c r="C156" t="s">
        <v>30</v>
      </c>
      <c r="D156" t="s">
        <v>31</v>
      </c>
      <c r="E156" t="s">
        <v>18</v>
      </c>
      <c r="F156" t="s">
        <v>35</v>
      </c>
      <c r="G156" t="s">
        <v>32</v>
      </c>
      <c r="H156">
        <v>5</v>
      </c>
      <c r="I156">
        <v>0.1</v>
      </c>
      <c r="J156">
        <v>985.29</v>
      </c>
      <c r="K156">
        <v>38.11</v>
      </c>
    </row>
    <row r="157" spans="1:11" x14ac:dyDescent="0.3">
      <c r="A157" t="s">
        <v>194</v>
      </c>
      <c r="B157" s="1">
        <v>45500</v>
      </c>
      <c r="C157" t="s">
        <v>12</v>
      </c>
      <c r="D157" t="s">
        <v>21</v>
      </c>
      <c r="E157" t="s">
        <v>44</v>
      </c>
      <c r="F157" t="s">
        <v>35</v>
      </c>
      <c r="G157" t="s">
        <v>16</v>
      </c>
      <c r="H157">
        <v>4</v>
      </c>
      <c r="I157">
        <v>0.05</v>
      </c>
      <c r="J157">
        <v>39.22</v>
      </c>
      <c r="K157">
        <v>4.22</v>
      </c>
    </row>
    <row r="158" spans="1:11" x14ac:dyDescent="0.3">
      <c r="A158" t="s">
        <v>195</v>
      </c>
      <c r="B158" s="1">
        <v>45501</v>
      </c>
      <c r="C158" t="s">
        <v>12</v>
      </c>
      <c r="D158" t="s">
        <v>21</v>
      </c>
      <c r="E158" t="s">
        <v>14</v>
      </c>
      <c r="F158" t="s">
        <v>35</v>
      </c>
      <c r="G158" t="s">
        <v>24</v>
      </c>
      <c r="H158">
        <v>5</v>
      </c>
      <c r="I158">
        <v>0.3</v>
      </c>
      <c r="J158">
        <v>463.86</v>
      </c>
      <c r="K158">
        <v>15.78</v>
      </c>
    </row>
    <row r="159" spans="1:11" x14ac:dyDescent="0.3">
      <c r="A159" t="s">
        <v>196</v>
      </c>
      <c r="B159" s="1">
        <v>45501</v>
      </c>
      <c r="C159" t="s">
        <v>12</v>
      </c>
      <c r="D159" t="s">
        <v>21</v>
      </c>
      <c r="E159" t="s">
        <v>44</v>
      </c>
      <c r="F159" t="s">
        <v>15</v>
      </c>
      <c r="G159" t="s">
        <v>24</v>
      </c>
      <c r="H159">
        <v>7</v>
      </c>
      <c r="I159">
        <v>0.05</v>
      </c>
      <c r="J159">
        <v>683.18</v>
      </c>
      <c r="K159">
        <v>175.75</v>
      </c>
    </row>
    <row r="160" spans="1:11" x14ac:dyDescent="0.3">
      <c r="A160" t="s">
        <v>197</v>
      </c>
      <c r="B160" s="1">
        <v>45506</v>
      </c>
      <c r="C160" t="s">
        <v>12</v>
      </c>
      <c r="D160" t="s">
        <v>46</v>
      </c>
      <c r="E160" t="s">
        <v>14</v>
      </c>
      <c r="F160" t="s">
        <v>15</v>
      </c>
      <c r="G160" t="s">
        <v>53</v>
      </c>
      <c r="H160">
        <v>2</v>
      </c>
      <c r="I160">
        <v>0.1</v>
      </c>
      <c r="J160">
        <v>141.25</v>
      </c>
      <c r="K160">
        <v>8.98</v>
      </c>
    </row>
    <row r="161" spans="1:11" x14ac:dyDescent="0.3">
      <c r="A161" t="s">
        <v>198</v>
      </c>
      <c r="B161" s="1">
        <v>45507</v>
      </c>
      <c r="C161" t="s">
        <v>30</v>
      </c>
      <c r="D161" t="s">
        <v>40</v>
      </c>
      <c r="E161" t="s">
        <v>23</v>
      </c>
      <c r="F161" t="s">
        <v>35</v>
      </c>
      <c r="G161" t="s">
        <v>38</v>
      </c>
      <c r="H161">
        <v>4</v>
      </c>
      <c r="I161">
        <v>0</v>
      </c>
      <c r="J161">
        <v>921.83</v>
      </c>
      <c r="K161">
        <v>140.94</v>
      </c>
    </row>
    <row r="162" spans="1:11" x14ac:dyDescent="0.3">
      <c r="A162" t="s">
        <v>199</v>
      </c>
      <c r="B162" s="1">
        <v>45507</v>
      </c>
      <c r="C162" t="s">
        <v>26</v>
      </c>
      <c r="D162" t="s">
        <v>55</v>
      </c>
      <c r="E162" t="s">
        <v>44</v>
      </c>
      <c r="F162" t="s">
        <v>15</v>
      </c>
      <c r="G162" t="s">
        <v>16</v>
      </c>
      <c r="H162">
        <v>2</v>
      </c>
      <c r="I162">
        <v>0.1</v>
      </c>
      <c r="J162">
        <v>251.82</v>
      </c>
      <c r="K162">
        <v>47.52</v>
      </c>
    </row>
    <row r="163" spans="1:11" x14ac:dyDescent="0.3">
      <c r="A163" t="s">
        <v>200</v>
      </c>
      <c r="B163" s="1">
        <v>45507</v>
      </c>
      <c r="C163" t="s">
        <v>12</v>
      </c>
      <c r="D163" t="s">
        <v>13</v>
      </c>
      <c r="E163" t="s">
        <v>14</v>
      </c>
      <c r="F163" t="s">
        <v>35</v>
      </c>
      <c r="G163" t="s">
        <v>38</v>
      </c>
      <c r="H163">
        <v>2</v>
      </c>
      <c r="I163">
        <v>0.1</v>
      </c>
      <c r="J163">
        <v>89.97</v>
      </c>
      <c r="K163">
        <v>8.57</v>
      </c>
    </row>
    <row r="164" spans="1:11" x14ac:dyDescent="0.3">
      <c r="A164" t="s">
        <v>201</v>
      </c>
      <c r="B164" s="1">
        <v>45508</v>
      </c>
      <c r="C164" t="s">
        <v>26</v>
      </c>
      <c r="D164" t="s">
        <v>43</v>
      </c>
      <c r="E164" t="s">
        <v>14</v>
      </c>
      <c r="F164" t="s">
        <v>35</v>
      </c>
      <c r="G164" t="s">
        <v>47</v>
      </c>
      <c r="H164">
        <v>3</v>
      </c>
      <c r="I164">
        <v>0.15</v>
      </c>
      <c r="J164">
        <v>545.16999999999996</v>
      </c>
      <c r="K164">
        <v>30.83</v>
      </c>
    </row>
    <row r="165" spans="1:11" x14ac:dyDescent="0.3">
      <c r="A165" t="s">
        <v>202</v>
      </c>
      <c r="B165" s="1">
        <v>45509</v>
      </c>
      <c r="C165" t="s">
        <v>26</v>
      </c>
      <c r="D165" t="s">
        <v>43</v>
      </c>
      <c r="E165" t="s">
        <v>44</v>
      </c>
      <c r="F165" t="s">
        <v>28</v>
      </c>
      <c r="G165" t="s">
        <v>47</v>
      </c>
      <c r="H165">
        <v>3</v>
      </c>
      <c r="I165">
        <v>0.2</v>
      </c>
      <c r="J165">
        <v>396.28</v>
      </c>
      <c r="K165">
        <v>53.28</v>
      </c>
    </row>
    <row r="166" spans="1:11" x14ac:dyDescent="0.3">
      <c r="A166" t="s">
        <v>203</v>
      </c>
      <c r="B166" s="1">
        <v>45509</v>
      </c>
      <c r="C166" t="s">
        <v>30</v>
      </c>
      <c r="D166" t="s">
        <v>50</v>
      </c>
      <c r="E166" t="s">
        <v>44</v>
      </c>
      <c r="F166" t="s">
        <v>35</v>
      </c>
      <c r="G166" t="s">
        <v>19</v>
      </c>
      <c r="H166">
        <v>4</v>
      </c>
      <c r="I166">
        <v>0</v>
      </c>
      <c r="J166">
        <v>922.96</v>
      </c>
      <c r="K166">
        <v>73.41</v>
      </c>
    </row>
    <row r="167" spans="1:11" x14ac:dyDescent="0.3">
      <c r="A167" t="s">
        <v>204</v>
      </c>
      <c r="B167" s="1">
        <v>45513</v>
      </c>
      <c r="C167" t="s">
        <v>30</v>
      </c>
      <c r="D167" t="s">
        <v>40</v>
      </c>
      <c r="E167" t="s">
        <v>18</v>
      </c>
      <c r="F167" t="s">
        <v>15</v>
      </c>
      <c r="G167" t="s">
        <v>68</v>
      </c>
      <c r="H167">
        <v>5</v>
      </c>
      <c r="I167">
        <v>0</v>
      </c>
      <c r="J167">
        <v>1427.15</v>
      </c>
      <c r="K167">
        <v>185.26</v>
      </c>
    </row>
    <row r="168" spans="1:11" x14ac:dyDescent="0.3">
      <c r="A168" t="s">
        <v>205</v>
      </c>
      <c r="B168" s="1">
        <v>45514</v>
      </c>
      <c r="C168" t="s">
        <v>30</v>
      </c>
      <c r="D168" t="s">
        <v>31</v>
      </c>
      <c r="E168" t="s">
        <v>18</v>
      </c>
      <c r="F168" t="s">
        <v>35</v>
      </c>
      <c r="G168" t="s">
        <v>68</v>
      </c>
      <c r="H168">
        <v>6</v>
      </c>
      <c r="I168">
        <v>0.15</v>
      </c>
      <c r="J168">
        <v>1148.5899999999999</v>
      </c>
      <c r="K168">
        <v>210.69</v>
      </c>
    </row>
    <row r="169" spans="1:11" x14ac:dyDescent="0.3">
      <c r="A169" t="s">
        <v>206</v>
      </c>
      <c r="B169" s="1">
        <v>45515</v>
      </c>
      <c r="C169" t="s">
        <v>26</v>
      </c>
      <c r="D169" t="s">
        <v>43</v>
      </c>
      <c r="E169" t="s">
        <v>18</v>
      </c>
      <c r="F169" t="s">
        <v>15</v>
      </c>
      <c r="G169" t="s">
        <v>16</v>
      </c>
      <c r="H169">
        <v>2</v>
      </c>
      <c r="I169">
        <v>0.2</v>
      </c>
      <c r="J169">
        <v>452.12</v>
      </c>
      <c r="K169">
        <v>71.150000000000006</v>
      </c>
    </row>
    <row r="170" spans="1:11" x14ac:dyDescent="0.3">
      <c r="A170" t="s">
        <v>207</v>
      </c>
      <c r="B170" s="1">
        <v>45517</v>
      </c>
      <c r="C170" t="s">
        <v>12</v>
      </c>
      <c r="D170" t="s">
        <v>46</v>
      </c>
      <c r="E170" t="s">
        <v>23</v>
      </c>
      <c r="F170" t="s">
        <v>35</v>
      </c>
      <c r="G170" t="s">
        <v>53</v>
      </c>
      <c r="H170">
        <v>9</v>
      </c>
      <c r="I170">
        <v>0.15</v>
      </c>
      <c r="J170">
        <v>885.82</v>
      </c>
      <c r="K170">
        <v>65.52</v>
      </c>
    </row>
    <row r="171" spans="1:11" x14ac:dyDescent="0.3">
      <c r="A171" t="s">
        <v>208</v>
      </c>
      <c r="B171" s="1">
        <v>45517</v>
      </c>
      <c r="C171" t="s">
        <v>12</v>
      </c>
      <c r="D171" t="s">
        <v>34</v>
      </c>
      <c r="E171" t="s">
        <v>18</v>
      </c>
      <c r="F171" t="s">
        <v>28</v>
      </c>
      <c r="G171" t="s">
        <v>16</v>
      </c>
      <c r="H171">
        <v>1</v>
      </c>
      <c r="I171">
        <v>0</v>
      </c>
      <c r="J171">
        <v>78.97</v>
      </c>
      <c r="K171">
        <v>9.2799999999999994</v>
      </c>
    </row>
    <row r="172" spans="1:11" x14ac:dyDescent="0.3">
      <c r="A172" t="s">
        <v>209</v>
      </c>
      <c r="B172" s="1">
        <v>45517</v>
      </c>
      <c r="C172" t="s">
        <v>26</v>
      </c>
      <c r="D172" t="s">
        <v>43</v>
      </c>
      <c r="E172" t="s">
        <v>23</v>
      </c>
      <c r="F172" t="s">
        <v>28</v>
      </c>
      <c r="G172" t="s">
        <v>68</v>
      </c>
      <c r="H172">
        <v>1</v>
      </c>
      <c r="I172">
        <v>0.2</v>
      </c>
      <c r="J172">
        <v>107.55</v>
      </c>
      <c r="K172">
        <v>9.7899999999999991</v>
      </c>
    </row>
    <row r="173" spans="1:11" x14ac:dyDescent="0.3">
      <c r="A173" t="s">
        <v>210</v>
      </c>
      <c r="B173" s="1">
        <v>45517</v>
      </c>
      <c r="C173" t="s">
        <v>12</v>
      </c>
      <c r="D173" t="s">
        <v>13</v>
      </c>
      <c r="E173" t="s">
        <v>23</v>
      </c>
      <c r="F173" t="s">
        <v>35</v>
      </c>
      <c r="G173" t="s">
        <v>32</v>
      </c>
      <c r="H173">
        <v>7</v>
      </c>
      <c r="I173">
        <v>0.1</v>
      </c>
      <c r="J173">
        <v>607.57000000000005</v>
      </c>
      <c r="K173">
        <v>37.26</v>
      </c>
    </row>
    <row r="174" spans="1:11" x14ac:dyDescent="0.3">
      <c r="A174" t="s">
        <v>211</v>
      </c>
      <c r="B174" s="1">
        <v>45518</v>
      </c>
      <c r="C174" t="s">
        <v>12</v>
      </c>
      <c r="D174" t="s">
        <v>34</v>
      </c>
      <c r="E174" t="s">
        <v>23</v>
      </c>
      <c r="F174" t="s">
        <v>28</v>
      </c>
      <c r="G174" t="s">
        <v>53</v>
      </c>
      <c r="H174">
        <v>9</v>
      </c>
      <c r="I174">
        <v>0.15</v>
      </c>
      <c r="J174">
        <v>928.52</v>
      </c>
      <c r="K174">
        <v>82.05</v>
      </c>
    </row>
    <row r="175" spans="1:11" x14ac:dyDescent="0.3">
      <c r="A175" t="s">
        <v>212</v>
      </c>
      <c r="B175" s="1">
        <v>45520</v>
      </c>
      <c r="C175" t="s">
        <v>26</v>
      </c>
      <c r="D175" t="s">
        <v>55</v>
      </c>
      <c r="E175" t="s">
        <v>18</v>
      </c>
      <c r="F175" t="s">
        <v>28</v>
      </c>
      <c r="G175" t="s">
        <v>47</v>
      </c>
      <c r="H175">
        <v>6</v>
      </c>
      <c r="I175">
        <v>0</v>
      </c>
      <c r="J175">
        <v>842.66</v>
      </c>
      <c r="K175">
        <v>177.5</v>
      </c>
    </row>
    <row r="176" spans="1:11" x14ac:dyDescent="0.3">
      <c r="A176" t="s">
        <v>213</v>
      </c>
      <c r="B176" s="1">
        <v>45520</v>
      </c>
      <c r="C176" t="s">
        <v>26</v>
      </c>
      <c r="D176" t="s">
        <v>43</v>
      </c>
      <c r="E176" t="s">
        <v>23</v>
      </c>
      <c r="F176" t="s">
        <v>15</v>
      </c>
      <c r="G176" t="s">
        <v>24</v>
      </c>
      <c r="H176">
        <v>4</v>
      </c>
      <c r="I176">
        <v>0.2</v>
      </c>
      <c r="J176">
        <v>503.66</v>
      </c>
      <c r="K176">
        <v>64.11</v>
      </c>
    </row>
    <row r="177" spans="1:11" x14ac:dyDescent="0.3">
      <c r="A177" t="s">
        <v>214</v>
      </c>
      <c r="B177" s="1">
        <v>45526</v>
      </c>
      <c r="C177" t="s">
        <v>26</v>
      </c>
      <c r="D177" t="s">
        <v>27</v>
      </c>
      <c r="E177" t="s">
        <v>18</v>
      </c>
      <c r="F177" t="s">
        <v>28</v>
      </c>
      <c r="G177" t="s">
        <v>68</v>
      </c>
      <c r="H177">
        <v>3</v>
      </c>
      <c r="I177">
        <v>0.2</v>
      </c>
      <c r="J177">
        <v>481.92</v>
      </c>
      <c r="K177">
        <v>73.28</v>
      </c>
    </row>
    <row r="178" spans="1:11" x14ac:dyDescent="0.3">
      <c r="A178" t="s">
        <v>215</v>
      </c>
      <c r="B178" s="1">
        <v>45528</v>
      </c>
      <c r="C178" t="s">
        <v>30</v>
      </c>
      <c r="D178" t="s">
        <v>50</v>
      </c>
      <c r="E178" t="s">
        <v>18</v>
      </c>
      <c r="F178" t="s">
        <v>35</v>
      </c>
      <c r="G178" t="s">
        <v>53</v>
      </c>
      <c r="H178">
        <v>9</v>
      </c>
      <c r="I178">
        <v>0</v>
      </c>
      <c r="J178">
        <v>1982.56</v>
      </c>
      <c r="K178">
        <v>357.66</v>
      </c>
    </row>
    <row r="179" spans="1:11" x14ac:dyDescent="0.3">
      <c r="A179" t="s">
        <v>216</v>
      </c>
      <c r="B179" s="1">
        <v>45530</v>
      </c>
      <c r="C179" t="s">
        <v>30</v>
      </c>
      <c r="D179" t="s">
        <v>50</v>
      </c>
      <c r="E179" t="s">
        <v>18</v>
      </c>
      <c r="F179" t="s">
        <v>15</v>
      </c>
      <c r="G179" t="s">
        <v>32</v>
      </c>
      <c r="H179">
        <v>3</v>
      </c>
      <c r="I179">
        <v>0</v>
      </c>
      <c r="J179">
        <v>1213.5</v>
      </c>
      <c r="K179">
        <v>174.88</v>
      </c>
    </row>
    <row r="180" spans="1:11" x14ac:dyDescent="0.3">
      <c r="A180" t="s">
        <v>217</v>
      </c>
      <c r="B180" s="1">
        <v>45530</v>
      </c>
      <c r="C180" t="s">
        <v>30</v>
      </c>
      <c r="D180" t="s">
        <v>31</v>
      </c>
      <c r="E180" t="s">
        <v>44</v>
      </c>
      <c r="F180" t="s">
        <v>15</v>
      </c>
      <c r="G180" t="s">
        <v>16</v>
      </c>
      <c r="H180">
        <v>7</v>
      </c>
      <c r="I180">
        <v>0.1</v>
      </c>
      <c r="J180">
        <v>1886.84</v>
      </c>
      <c r="K180">
        <v>528.30999999999995</v>
      </c>
    </row>
    <row r="181" spans="1:11" x14ac:dyDescent="0.3">
      <c r="A181" t="s">
        <v>218</v>
      </c>
      <c r="B181" s="1">
        <v>45534</v>
      </c>
      <c r="C181" t="s">
        <v>30</v>
      </c>
      <c r="D181" t="s">
        <v>31</v>
      </c>
      <c r="E181" t="s">
        <v>18</v>
      </c>
      <c r="F181" t="s">
        <v>35</v>
      </c>
      <c r="G181" t="s">
        <v>32</v>
      </c>
      <c r="H181">
        <v>5</v>
      </c>
      <c r="I181">
        <v>0.2</v>
      </c>
      <c r="J181">
        <v>384.63</v>
      </c>
      <c r="K181">
        <v>34.89</v>
      </c>
    </row>
    <row r="182" spans="1:11" x14ac:dyDescent="0.3">
      <c r="A182" t="s">
        <v>219</v>
      </c>
      <c r="B182" s="1">
        <v>45535</v>
      </c>
      <c r="C182" t="s">
        <v>30</v>
      </c>
      <c r="D182" t="s">
        <v>50</v>
      </c>
      <c r="E182" t="s">
        <v>44</v>
      </c>
      <c r="F182" t="s">
        <v>15</v>
      </c>
      <c r="G182" t="s">
        <v>24</v>
      </c>
      <c r="H182">
        <v>2</v>
      </c>
      <c r="I182">
        <v>0.05</v>
      </c>
      <c r="J182">
        <v>318.38</v>
      </c>
      <c r="K182">
        <v>64.39</v>
      </c>
    </row>
    <row r="183" spans="1:11" x14ac:dyDescent="0.3">
      <c r="A183" t="s">
        <v>220</v>
      </c>
      <c r="B183" s="1">
        <v>45535</v>
      </c>
      <c r="C183" t="s">
        <v>12</v>
      </c>
      <c r="D183" t="s">
        <v>34</v>
      </c>
      <c r="E183" t="s">
        <v>23</v>
      </c>
      <c r="F183" t="s">
        <v>15</v>
      </c>
      <c r="G183" t="s">
        <v>16</v>
      </c>
      <c r="H183">
        <v>3</v>
      </c>
      <c r="I183">
        <v>0</v>
      </c>
      <c r="J183">
        <v>266.33999999999997</v>
      </c>
      <c r="K183">
        <v>19.309999999999999</v>
      </c>
    </row>
    <row r="184" spans="1:11" x14ac:dyDescent="0.3">
      <c r="A184" t="s">
        <v>221</v>
      </c>
      <c r="B184" s="1">
        <v>45536</v>
      </c>
      <c r="C184" t="s">
        <v>12</v>
      </c>
      <c r="D184" t="s">
        <v>21</v>
      </c>
      <c r="E184" t="s">
        <v>14</v>
      </c>
      <c r="F184" t="s">
        <v>28</v>
      </c>
      <c r="G184" t="s">
        <v>24</v>
      </c>
      <c r="H184">
        <v>1</v>
      </c>
      <c r="I184">
        <v>0.15</v>
      </c>
      <c r="J184">
        <v>117.44</v>
      </c>
      <c r="K184">
        <v>20.53</v>
      </c>
    </row>
    <row r="185" spans="1:11" x14ac:dyDescent="0.3">
      <c r="A185" t="s">
        <v>222</v>
      </c>
      <c r="B185" s="1">
        <v>45541</v>
      </c>
      <c r="C185" t="s">
        <v>12</v>
      </c>
      <c r="D185" t="s">
        <v>13</v>
      </c>
      <c r="E185" t="s">
        <v>18</v>
      </c>
      <c r="F185" t="s">
        <v>15</v>
      </c>
      <c r="G185" t="s">
        <v>38</v>
      </c>
      <c r="H185">
        <v>1</v>
      </c>
      <c r="I185">
        <v>0.15</v>
      </c>
      <c r="J185">
        <v>81.61</v>
      </c>
      <c r="K185">
        <v>7.22</v>
      </c>
    </row>
    <row r="186" spans="1:11" x14ac:dyDescent="0.3">
      <c r="A186" t="s">
        <v>223</v>
      </c>
      <c r="B186" s="1">
        <v>45542</v>
      </c>
      <c r="C186" t="s">
        <v>12</v>
      </c>
      <c r="D186" t="s">
        <v>34</v>
      </c>
      <c r="E186" t="s">
        <v>44</v>
      </c>
      <c r="F186" t="s">
        <v>35</v>
      </c>
      <c r="G186" t="s">
        <v>53</v>
      </c>
      <c r="H186">
        <v>3</v>
      </c>
      <c r="I186">
        <v>0.05</v>
      </c>
      <c r="J186">
        <v>126.81</v>
      </c>
      <c r="K186">
        <v>16.059999999999999</v>
      </c>
    </row>
    <row r="187" spans="1:11" x14ac:dyDescent="0.3">
      <c r="A187" t="s">
        <v>224</v>
      </c>
      <c r="B187" s="1">
        <v>45542</v>
      </c>
      <c r="C187" t="s">
        <v>12</v>
      </c>
      <c r="D187" t="s">
        <v>34</v>
      </c>
      <c r="E187" t="s">
        <v>18</v>
      </c>
      <c r="F187" t="s">
        <v>28</v>
      </c>
      <c r="G187" t="s">
        <v>19</v>
      </c>
      <c r="H187">
        <v>1</v>
      </c>
      <c r="I187">
        <v>0.2</v>
      </c>
      <c r="J187">
        <v>87.76</v>
      </c>
      <c r="K187">
        <v>2.04</v>
      </c>
    </row>
    <row r="188" spans="1:11" x14ac:dyDescent="0.3">
      <c r="A188" t="s">
        <v>225</v>
      </c>
      <c r="B188" s="1">
        <v>45547</v>
      </c>
      <c r="C188" t="s">
        <v>26</v>
      </c>
      <c r="D188" t="s">
        <v>55</v>
      </c>
      <c r="E188" t="s">
        <v>18</v>
      </c>
      <c r="F188" t="s">
        <v>35</v>
      </c>
      <c r="G188" t="s">
        <v>32</v>
      </c>
      <c r="H188">
        <v>9</v>
      </c>
      <c r="I188">
        <v>0.2</v>
      </c>
      <c r="J188">
        <v>1766.02</v>
      </c>
      <c r="K188">
        <v>261.39999999999998</v>
      </c>
    </row>
    <row r="189" spans="1:11" x14ac:dyDescent="0.3">
      <c r="A189" t="s">
        <v>226</v>
      </c>
      <c r="B189" s="1">
        <v>45550</v>
      </c>
      <c r="C189" t="s">
        <v>30</v>
      </c>
      <c r="D189" t="s">
        <v>40</v>
      </c>
      <c r="E189" t="s">
        <v>23</v>
      </c>
      <c r="F189" t="s">
        <v>28</v>
      </c>
      <c r="G189" t="s">
        <v>19</v>
      </c>
      <c r="H189">
        <v>7</v>
      </c>
      <c r="I189">
        <v>0.3</v>
      </c>
      <c r="J189">
        <v>1327.72</v>
      </c>
      <c r="K189">
        <v>52.21</v>
      </c>
    </row>
    <row r="190" spans="1:11" x14ac:dyDescent="0.3">
      <c r="A190" t="s">
        <v>227</v>
      </c>
      <c r="B190" s="1">
        <v>45552</v>
      </c>
      <c r="C190" t="s">
        <v>30</v>
      </c>
      <c r="D190" t="s">
        <v>50</v>
      </c>
      <c r="E190" t="s">
        <v>44</v>
      </c>
      <c r="F190" t="s">
        <v>15</v>
      </c>
      <c r="G190" t="s">
        <v>68</v>
      </c>
      <c r="H190">
        <v>3</v>
      </c>
      <c r="I190">
        <v>0.1</v>
      </c>
      <c r="J190">
        <v>963.11</v>
      </c>
      <c r="K190">
        <v>140.75</v>
      </c>
    </row>
    <row r="191" spans="1:11" x14ac:dyDescent="0.3">
      <c r="A191" t="s">
        <v>228</v>
      </c>
      <c r="B191" s="1">
        <v>45552</v>
      </c>
      <c r="C191" t="s">
        <v>12</v>
      </c>
      <c r="D191" t="s">
        <v>46</v>
      </c>
      <c r="E191" t="s">
        <v>44</v>
      </c>
      <c r="F191" t="s">
        <v>28</v>
      </c>
      <c r="G191" t="s">
        <v>38</v>
      </c>
      <c r="H191">
        <v>3</v>
      </c>
      <c r="I191">
        <v>0.2</v>
      </c>
      <c r="J191">
        <v>215.85</v>
      </c>
      <c r="K191">
        <v>28.23</v>
      </c>
    </row>
    <row r="192" spans="1:11" x14ac:dyDescent="0.3">
      <c r="A192" t="s">
        <v>229</v>
      </c>
      <c r="B192" s="1">
        <v>45553</v>
      </c>
      <c r="C192" t="s">
        <v>26</v>
      </c>
      <c r="D192" t="s">
        <v>43</v>
      </c>
      <c r="E192" t="s">
        <v>14</v>
      </c>
      <c r="F192" t="s">
        <v>35</v>
      </c>
      <c r="G192" t="s">
        <v>38</v>
      </c>
      <c r="H192">
        <v>3</v>
      </c>
      <c r="I192">
        <v>0.2</v>
      </c>
      <c r="J192">
        <v>340.79</v>
      </c>
      <c r="K192">
        <v>28.66</v>
      </c>
    </row>
    <row r="193" spans="1:11" x14ac:dyDescent="0.3">
      <c r="A193" t="s">
        <v>230</v>
      </c>
      <c r="B193" s="1">
        <v>45555</v>
      </c>
      <c r="C193" t="s">
        <v>30</v>
      </c>
      <c r="D193" t="s">
        <v>31</v>
      </c>
      <c r="E193" t="s">
        <v>18</v>
      </c>
      <c r="F193" t="s">
        <v>15</v>
      </c>
      <c r="G193" t="s">
        <v>38</v>
      </c>
      <c r="H193">
        <v>4</v>
      </c>
      <c r="I193">
        <v>0.15</v>
      </c>
      <c r="J193">
        <v>570.54999999999995</v>
      </c>
      <c r="K193">
        <v>75.69</v>
      </c>
    </row>
    <row r="194" spans="1:11" x14ac:dyDescent="0.3">
      <c r="A194" t="s">
        <v>231</v>
      </c>
      <c r="B194" s="1">
        <v>45555</v>
      </c>
      <c r="C194" t="s">
        <v>12</v>
      </c>
      <c r="D194" t="s">
        <v>46</v>
      </c>
      <c r="E194" t="s">
        <v>23</v>
      </c>
      <c r="F194" t="s">
        <v>35</v>
      </c>
      <c r="G194" t="s">
        <v>53</v>
      </c>
      <c r="H194">
        <v>2</v>
      </c>
      <c r="I194">
        <v>0.2</v>
      </c>
      <c r="J194">
        <v>87.46</v>
      </c>
      <c r="K194">
        <v>3.57</v>
      </c>
    </row>
    <row r="195" spans="1:11" x14ac:dyDescent="0.3">
      <c r="A195" t="s">
        <v>232</v>
      </c>
      <c r="B195" s="1">
        <v>45557</v>
      </c>
      <c r="C195" t="s">
        <v>12</v>
      </c>
      <c r="D195" t="s">
        <v>46</v>
      </c>
      <c r="E195" t="s">
        <v>18</v>
      </c>
      <c r="F195" t="s">
        <v>15</v>
      </c>
      <c r="G195" t="s">
        <v>68</v>
      </c>
      <c r="H195">
        <v>5</v>
      </c>
      <c r="I195">
        <v>0</v>
      </c>
      <c r="J195">
        <v>617.16</v>
      </c>
      <c r="K195">
        <v>26.78</v>
      </c>
    </row>
    <row r="196" spans="1:11" x14ac:dyDescent="0.3">
      <c r="A196" t="s">
        <v>233</v>
      </c>
      <c r="B196" s="1">
        <v>45558</v>
      </c>
      <c r="C196" t="s">
        <v>30</v>
      </c>
      <c r="D196" t="s">
        <v>50</v>
      </c>
      <c r="E196" t="s">
        <v>23</v>
      </c>
      <c r="F196" t="s">
        <v>15</v>
      </c>
      <c r="G196" t="s">
        <v>53</v>
      </c>
      <c r="H196">
        <v>7</v>
      </c>
      <c r="I196">
        <v>0.3</v>
      </c>
      <c r="J196">
        <v>1714.14</v>
      </c>
      <c r="K196">
        <v>4.16</v>
      </c>
    </row>
    <row r="197" spans="1:11" x14ac:dyDescent="0.3">
      <c r="A197" t="s">
        <v>234</v>
      </c>
      <c r="B197" s="1">
        <v>45559</v>
      </c>
      <c r="C197" t="s">
        <v>30</v>
      </c>
      <c r="D197" t="s">
        <v>40</v>
      </c>
      <c r="E197" t="s">
        <v>44</v>
      </c>
      <c r="F197" t="s">
        <v>28</v>
      </c>
      <c r="G197" t="s">
        <v>16</v>
      </c>
      <c r="H197">
        <v>8</v>
      </c>
      <c r="I197">
        <v>0.1</v>
      </c>
      <c r="J197">
        <v>1628.97</v>
      </c>
      <c r="K197">
        <v>291.93</v>
      </c>
    </row>
    <row r="198" spans="1:11" x14ac:dyDescent="0.3">
      <c r="A198" t="s">
        <v>235</v>
      </c>
      <c r="B198" s="1">
        <v>45559</v>
      </c>
      <c r="C198" t="s">
        <v>30</v>
      </c>
      <c r="D198" t="s">
        <v>40</v>
      </c>
      <c r="E198" t="s">
        <v>44</v>
      </c>
      <c r="F198" t="s">
        <v>15</v>
      </c>
      <c r="G198" t="s">
        <v>24</v>
      </c>
      <c r="H198">
        <v>5</v>
      </c>
      <c r="I198">
        <v>0.15</v>
      </c>
      <c r="J198">
        <v>389.87</v>
      </c>
      <c r="K198">
        <v>33.159999999999997</v>
      </c>
    </row>
    <row r="199" spans="1:11" x14ac:dyDescent="0.3">
      <c r="A199" t="s">
        <v>236</v>
      </c>
      <c r="B199" s="1">
        <v>45563</v>
      </c>
      <c r="C199" t="s">
        <v>12</v>
      </c>
      <c r="D199" t="s">
        <v>46</v>
      </c>
      <c r="E199" t="s">
        <v>18</v>
      </c>
      <c r="F199" t="s">
        <v>35</v>
      </c>
      <c r="G199" t="s">
        <v>16</v>
      </c>
      <c r="H199">
        <v>4</v>
      </c>
      <c r="I199">
        <v>0.3</v>
      </c>
      <c r="J199">
        <v>211</v>
      </c>
      <c r="K199">
        <v>25.18</v>
      </c>
    </row>
    <row r="200" spans="1:11" x14ac:dyDescent="0.3">
      <c r="A200" t="s">
        <v>237</v>
      </c>
      <c r="B200" s="1">
        <v>45564</v>
      </c>
      <c r="C200" t="s">
        <v>30</v>
      </c>
      <c r="D200" t="s">
        <v>40</v>
      </c>
      <c r="E200" t="s">
        <v>14</v>
      </c>
      <c r="F200" t="s">
        <v>35</v>
      </c>
      <c r="G200" t="s">
        <v>47</v>
      </c>
      <c r="H200">
        <v>9</v>
      </c>
      <c r="I200">
        <v>0.2</v>
      </c>
      <c r="J200">
        <v>1550.96</v>
      </c>
      <c r="K200">
        <v>385.39</v>
      </c>
    </row>
    <row r="201" spans="1:11" x14ac:dyDescent="0.3">
      <c r="A201" t="s">
        <v>238</v>
      </c>
      <c r="B201" s="1">
        <v>45565</v>
      </c>
      <c r="C201" t="s">
        <v>30</v>
      </c>
      <c r="D201" t="s">
        <v>31</v>
      </c>
      <c r="E201" t="s">
        <v>44</v>
      </c>
      <c r="F201" t="s">
        <v>28</v>
      </c>
      <c r="G201" t="s">
        <v>47</v>
      </c>
      <c r="H201">
        <v>8</v>
      </c>
      <c r="I201">
        <v>0.1</v>
      </c>
      <c r="J201">
        <v>1386.99</v>
      </c>
      <c r="K201">
        <v>110.46</v>
      </c>
    </row>
    <row r="202" spans="1:11" x14ac:dyDescent="0.3">
      <c r="A202" t="s">
        <v>239</v>
      </c>
      <c r="B202" s="1">
        <v>45566</v>
      </c>
      <c r="C202" t="s">
        <v>26</v>
      </c>
      <c r="D202" t="s">
        <v>27</v>
      </c>
      <c r="E202" t="s">
        <v>14</v>
      </c>
      <c r="F202" t="s">
        <v>15</v>
      </c>
      <c r="G202" t="s">
        <v>47</v>
      </c>
      <c r="H202">
        <v>9</v>
      </c>
      <c r="I202">
        <v>0.2</v>
      </c>
      <c r="J202">
        <v>1275.6099999999999</v>
      </c>
      <c r="K202">
        <v>50.36</v>
      </c>
    </row>
    <row r="203" spans="1:11" x14ac:dyDescent="0.3">
      <c r="A203" t="s">
        <v>240</v>
      </c>
      <c r="B203" s="1">
        <v>45569</v>
      </c>
      <c r="C203" t="s">
        <v>12</v>
      </c>
      <c r="D203" t="s">
        <v>34</v>
      </c>
      <c r="E203" t="s">
        <v>18</v>
      </c>
      <c r="F203" t="s">
        <v>35</v>
      </c>
      <c r="G203" t="s">
        <v>16</v>
      </c>
      <c r="H203">
        <v>6</v>
      </c>
      <c r="I203">
        <v>0</v>
      </c>
      <c r="J203">
        <v>708.92</v>
      </c>
      <c r="K203">
        <v>71.89</v>
      </c>
    </row>
    <row r="204" spans="1:11" x14ac:dyDescent="0.3">
      <c r="A204" t="s">
        <v>241</v>
      </c>
      <c r="B204" s="1">
        <v>45571</v>
      </c>
      <c r="C204" t="s">
        <v>30</v>
      </c>
      <c r="D204" t="s">
        <v>50</v>
      </c>
      <c r="E204" t="s">
        <v>14</v>
      </c>
      <c r="F204" t="s">
        <v>28</v>
      </c>
      <c r="G204" t="s">
        <v>32</v>
      </c>
      <c r="H204">
        <v>2</v>
      </c>
      <c r="I204">
        <v>0.15</v>
      </c>
      <c r="J204">
        <v>224.25</v>
      </c>
      <c r="K204">
        <v>22.06</v>
      </c>
    </row>
    <row r="205" spans="1:11" x14ac:dyDescent="0.3">
      <c r="A205" t="s">
        <v>242</v>
      </c>
      <c r="B205" s="1">
        <v>45572</v>
      </c>
      <c r="C205" t="s">
        <v>30</v>
      </c>
      <c r="D205" t="s">
        <v>40</v>
      </c>
      <c r="E205" t="s">
        <v>14</v>
      </c>
      <c r="F205" t="s">
        <v>15</v>
      </c>
      <c r="G205" t="s">
        <v>53</v>
      </c>
      <c r="H205">
        <v>4</v>
      </c>
      <c r="I205">
        <v>0.2</v>
      </c>
      <c r="J205">
        <v>633.01</v>
      </c>
      <c r="K205">
        <v>54.11</v>
      </c>
    </row>
    <row r="206" spans="1:11" x14ac:dyDescent="0.3">
      <c r="A206" t="s">
        <v>243</v>
      </c>
      <c r="B206" s="1">
        <v>45576</v>
      </c>
      <c r="C206" t="s">
        <v>12</v>
      </c>
      <c r="D206" t="s">
        <v>13</v>
      </c>
      <c r="E206" t="s">
        <v>14</v>
      </c>
      <c r="F206" t="s">
        <v>15</v>
      </c>
      <c r="G206" t="s">
        <v>38</v>
      </c>
      <c r="H206">
        <v>2</v>
      </c>
      <c r="I206">
        <v>0.05</v>
      </c>
      <c r="J206">
        <v>107.77</v>
      </c>
      <c r="K206">
        <v>11.66</v>
      </c>
    </row>
    <row r="207" spans="1:11" x14ac:dyDescent="0.3">
      <c r="A207" t="s">
        <v>244</v>
      </c>
      <c r="B207" s="1">
        <v>45576</v>
      </c>
      <c r="C207" t="s">
        <v>30</v>
      </c>
      <c r="D207" t="s">
        <v>40</v>
      </c>
      <c r="E207" t="s">
        <v>18</v>
      </c>
      <c r="F207" t="s">
        <v>28</v>
      </c>
      <c r="G207" t="s">
        <v>47</v>
      </c>
      <c r="H207">
        <v>5</v>
      </c>
      <c r="I207">
        <v>0</v>
      </c>
      <c r="J207">
        <v>2251.79</v>
      </c>
      <c r="K207">
        <v>-103.38</v>
      </c>
    </row>
    <row r="208" spans="1:11" x14ac:dyDescent="0.3">
      <c r="A208" t="s">
        <v>245</v>
      </c>
      <c r="B208" s="1">
        <v>45576</v>
      </c>
      <c r="C208" t="s">
        <v>12</v>
      </c>
      <c r="D208" t="s">
        <v>46</v>
      </c>
      <c r="E208" t="s">
        <v>18</v>
      </c>
      <c r="F208" t="s">
        <v>28</v>
      </c>
      <c r="G208" t="s">
        <v>53</v>
      </c>
      <c r="H208">
        <v>5</v>
      </c>
      <c r="I208">
        <v>0.15</v>
      </c>
      <c r="J208">
        <v>371.49</v>
      </c>
      <c r="K208">
        <v>60.78</v>
      </c>
    </row>
    <row r="209" spans="1:11" x14ac:dyDescent="0.3">
      <c r="A209" t="s">
        <v>246</v>
      </c>
      <c r="B209" s="1">
        <v>45577</v>
      </c>
      <c r="C209" t="s">
        <v>26</v>
      </c>
      <c r="D209" t="s">
        <v>55</v>
      </c>
      <c r="E209" t="s">
        <v>23</v>
      </c>
      <c r="F209" t="s">
        <v>28</v>
      </c>
      <c r="G209" t="s">
        <v>32</v>
      </c>
      <c r="H209">
        <v>2</v>
      </c>
      <c r="I209">
        <v>0.15</v>
      </c>
      <c r="J209">
        <v>279.67</v>
      </c>
      <c r="K209">
        <v>49.41</v>
      </c>
    </row>
    <row r="210" spans="1:11" x14ac:dyDescent="0.3">
      <c r="A210" t="s">
        <v>247</v>
      </c>
      <c r="B210" s="1">
        <v>45578</v>
      </c>
      <c r="C210" t="s">
        <v>12</v>
      </c>
      <c r="D210" t="s">
        <v>21</v>
      </c>
      <c r="E210" t="s">
        <v>23</v>
      </c>
      <c r="F210" t="s">
        <v>35</v>
      </c>
      <c r="G210" t="s">
        <v>68</v>
      </c>
      <c r="H210">
        <v>1</v>
      </c>
      <c r="I210">
        <v>0.1</v>
      </c>
      <c r="J210">
        <v>103.95</v>
      </c>
      <c r="K210">
        <v>21.22</v>
      </c>
    </row>
    <row r="211" spans="1:11" x14ac:dyDescent="0.3">
      <c r="A211" t="s">
        <v>248</v>
      </c>
      <c r="B211" s="1">
        <v>45579</v>
      </c>
      <c r="C211" t="s">
        <v>12</v>
      </c>
      <c r="D211" t="s">
        <v>21</v>
      </c>
      <c r="E211" t="s">
        <v>23</v>
      </c>
      <c r="F211" t="s">
        <v>15</v>
      </c>
      <c r="G211" t="s">
        <v>32</v>
      </c>
      <c r="H211">
        <v>8</v>
      </c>
      <c r="I211">
        <v>0</v>
      </c>
      <c r="J211">
        <v>1035.04</v>
      </c>
      <c r="K211">
        <v>306.61</v>
      </c>
    </row>
    <row r="212" spans="1:11" x14ac:dyDescent="0.3">
      <c r="A212" t="s">
        <v>249</v>
      </c>
      <c r="B212" s="1">
        <v>45579</v>
      </c>
      <c r="C212" t="s">
        <v>30</v>
      </c>
      <c r="D212" t="s">
        <v>50</v>
      </c>
      <c r="E212" t="s">
        <v>23</v>
      </c>
      <c r="F212" t="s">
        <v>15</v>
      </c>
      <c r="G212" t="s">
        <v>47</v>
      </c>
      <c r="H212">
        <v>5</v>
      </c>
      <c r="I212">
        <v>0.15</v>
      </c>
      <c r="J212">
        <v>988.69</v>
      </c>
      <c r="K212">
        <v>192.08</v>
      </c>
    </row>
    <row r="213" spans="1:11" x14ac:dyDescent="0.3">
      <c r="A213" t="s">
        <v>250</v>
      </c>
      <c r="B213" s="1">
        <v>45580</v>
      </c>
      <c r="C213" t="s">
        <v>30</v>
      </c>
      <c r="D213" t="s">
        <v>50</v>
      </c>
      <c r="E213" t="s">
        <v>23</v>
      </c>
      <c r="F213" t="s">
        <v>35</v>
      </c>
      <c r="G213" t="s">
        <v>24</v>
      </c>
      <c r="H213">
        <v>4</v>
      </c>
      <c r="I213">
        <v>0.05</v>
      </c>
      <c r="J213">
        <v>782.61</v>
      </c>
      <c r="K213">
        <v>96.42</v>
      </c>
    </row>
    <row r="214" spans="1:11" x14ac:dyDescent="0.3">
      <c r="A214" t="s">
        <v>251</v>
      </c>
      <c r="B214" s="1">
        <v>45580</v>
      </c>
      <c r="C214" t="s">
        <v>12</v>
      </c>
      <c r="D214" t="s">
        <v>13</v>
      </c>
      <c r="E214" t="s">
        <v>44</v>
      </c>
      <c r="F214" t="s">
        <v>15</v>
      </c>
      <c r="G214" t="s">
        <v>16</v>
      </c>
      <c r="H214">
        <v>6</v>
      </c>
      <c r="I214">
        <v>0.15</v>
      </c>
      <c r="J214">
        <v>266.88</v>
      </c>
      <c r="K214">
        <v>25.66</v>
      </c>
    </row>
    <row r="215" spans="1:11" x14ac:dyDescent="0.3">
      <c r="A215" t="s">
        <v>252</v>
      </c>
      <c r="B215" s="1">
        <v>45583</v>
      </c>
      <c r="C215" t="s">
        <v>30</v>
      </c>
      <c r="D215" t="s">
        <v>40</v>
      </c>
      <c r="E215" t="s">
        <v>14</v>
      </c>
      <c r="F215" t="s">
        <v>15</v>
      </c>
      <c r="G215" t="s">
        <v>16</v>
      </c>
      <c r="H215">
        <v>6</v>
      </c>
      <c r="I215">
        <v>0.1</v>
      </c>
      <c r="J215">
        <v>1838.15</v>
      </c>
      <c r="K215">
        <v>112.42</v>
      </c>
    </row>
    <row r="216" spans="1:11" x14ac:dyDescent="0.3">
      <c r="A216" t="s">
        <v>253</v>
      </c>
      <c r="B216" s="1">
        <v>45584</v>
      </c>
      <c r="C216" t="s">
        <v>12</v>
      </c>
      <c r="D216" t="s">
        <v>21</v>
      </c>
      <c r="E216" t="s">
        <v>44</v>
      </c>
      <c r="F216" t="s">
        <v>35</v>
      </c>
      <c r="G216" t="s">
        <v>19</v>
      </c>
      <c r="H216">
        <v>7</v>
      </c>
      <c r="I216">
        <v>0.2</v>
      </c>
      <c r="J216">
        <v>653.14</v>
      </c>
      <c r="K216">
        <v>107.24</v>
      </c>
    </row>
    <row r="217" spans="1:11" x14ac:dyDescent="0.3">
      <c r="A217" t="s">
        <v>254</v>
      </c>
      <c r="B217" s="1">
        <v>45587</v>
      </c>
      <c r="C217" t="s">
        <v>12</v>
      </c>
      <c r="D217" t="s">
        <v>21</v>
      </c>
      <c r="E217" t="s">
        <v>14</v>
      </c>
      <c r="F217" t="s">
        <v>15</v>
      </c>
      <c r="G217" t="s">
        <v>16</v>
      </c>
      <c r="H217">
        <v>3</v>
      </c>
      <c r="I217">
        <v>0</v>
      </c>
      <c r="J217">
        <v>370.71</v>
      </c>
      <c r="K217">
        <v>99.23</v>
      </c>
    </row>
    <row r="218" spans="1:11" x14ac:dyDescent="0.3">
      <c r="A218" t="s">
        <v>255</v>
      </c>
      <c r="B218" s="1">
        <v>45587</v>
      </c>
      <c r="C218" t="s">
        <v>26</v>
      </c>
      <c r="D218" t="s">
        <v>55</v>
      </c>
      <c r="E218" t="s">
        <v>18</v>
      </c>
      <c r="F218" t="s">
        <v>28</v>
      </c>
      <c r="G218" t="s">
        <v>47</v>
      </c>
      <c r="H218">
        <v>4</v>
      </c>
      <c r="I218">
        <v>0.1</v>
      </c>
      <c r="J218">
        <v>412.54</v>
      </c>
      <c r="K218">
        <v>101.09</v>
      </c>
    </row>
    <row r="219" spans="1:11" x14ac:dyDescent="0.3">
      <c r="A219" t="s">
        <v>256</v>
      </c>
      <c r="B219" s="1">
        <v>45587</v>
      </c>
      <c r="C219" t="s">
        <v>12</v>
      </c>
      <c r="D219" t="s">
        <v>34</v>
      </c>
      <c r="E219" t="s">
        <v>14</v>
      </c>
      <c r="F219" t="s">
        <v>15</v>
      </c>
      <c r="G219" t="s">
        <v>38</v>
      </c>
      <c r="H219">
        <v>5</v>
      </c>
      <c r="I219">
        <v>0.1</v>
      </c>
      <c r="J219">
        <v>461.17</v>
      </c>
      <c r="K219">
        <v>73.150000000000006</v>
      </c>
    </row>
    <row r="220" spans="1:11" x14ac:dyDescent="0.3">
      <c r="A220" t="s">
        <v>257</v>
      </c>
      <c r="B220" s="1">
        <v>45588</v>
      </c>
      <c r="C220" t="s">
        <v>26</v>
      </c>
      <c r="D220" t="s">
        <v>43</v>
      </c>
      <c r="E220" t="s">
        <v>18</v>
      </c>
      <c r="F220" t="s">
        <v>15</v>
      </c>
      <c r="G220" t="s">
        <v>47</v>
      </c>
      <c r="H220">
        <v>5</v>
      </c>
      <c r="I220">
        <v>0.1</v>
      </c>
      <c r="J220">
        <v>1234.5</v>
      </c>
      <c r="K220">
        <v>146.80000000000001</v>
      </c>
    </row>
    <row r="221" spans="1:11" x14ac:dyDescent="0.3">
      <c r="A221" t="s">
        <v>258</v>
      </c>
      <c r="B221" s="1">
        <v>45592</v>
      </c>
      <c r="C221" t="s">
        <v>12</v>
      </c>
      <c r="D221" t="s">
        <v>46</v>
      </c>
      <c r="E221" t="s">
        <v>18</v>
      </c>
      <c r="F221" t="s">
        <v>35</v>
      </c>
      <c r="G221" t="s">
        <v>16</v>
      </c>
      <c r="H221">
        <v>7</v>
      </c>
      <c r="I221">
        <v>0</v>
      </c>
      <c r="J221">
        <v>608.80999999999995</v>
      </c>
      <c r="K221">
        <v>186.97</v>
      </c>
    </row>
    <row r="222" spans="1:11" x14ac:dyDescent="0.3">
      <c r="A222" t="s">
        <v>259</v>
      </c>
      <c r="B222" s="1">
        <v>45593</v>
      </c>
      <c r="C222" t="s">
        <v>30</v>
      </c>
      <c r="D222" t="s">
        <v>50</v>
      </c>
      <c r="E222" t="s">
        <v>14</v>
      </c>
      <c r="F222" t="s">
        <v>15</v>
      </c>
      <c r="G222" t="s">
        <v>24</v>
      </c>
      <c r="H222">
        <v>8</v>
      </c>
      <c r="I222">
        <v>0.3</v>
      </c>
      <c r="J222">
        <v>1241.94</v>
      </c>
      <c r="K222">
        <v>75.290000000000006</v>
      </c>
    </row>
    <row r="223" spans="1:11" x14ac:dyDescent="0.3">
      <c r="A223" t="s">
        <v>260</v>
      </c>
      <c r="B223" s="1">
        <v>45593</v>
      </c>
      <c r="C223" t="s">
        <v>12</v>
      </c>
      <c r="D223" t="s">
        <v>13</v>
      </c>
      <c r="E223" t="s">
        <v>18</v>
      </c>
      <c r="F223" t="s">
        <v>15</v>
      </c>
      <c r="G223" t="s">
        <v>47</v>
      </c>
      <c r="H223">
        <v>1</v>
      </c>
      <c r="I223">
        <v>0.2</v>
      </c>
      <c r="J223">
        <v>50.96</v>
      </c>
      <c r="K223">
        <v>1.24</v>
      </c>
    </row>
    <row r="224" spans="1:11" x14ac:dyDescent="0.3">
      <c r="A224" t="s">
        <v>261</v>
      </c>
      <c r="B224" s="1">
        <v>45596</v>
      </c>
      <c r="C224" t="s">
        <v>26</v>
      </c>
      <c r="D224" t="s">
        <v>27</v>
      </c>
      <c r="E224" t="s">
        <v>14</v>
      </c>
      <c r="F224" t="s">
        <v>15</v>
      </c>
      <c r="G224" t="s">
        <v>53</v>
      </c>
      <c r="H224">
        <v>2</v>
      </c>
      <c r="I224">
        <v>0.2</v>
      </c>
      <c r="J224">
        <v>383.57</v>
      </c>
      <c r="K224">
        <v>40.090000000000003</v>
      </c>
    </row>
    <row r="225" spans="1:11" x14ac:dyDescent="0.3">
      <c r="A225" t="s">
        <v>262</v>
      </c>
      <c r="B225" s="1">
        <v>45600</v>
      </c>
      <c r="C225" t="s">
        <v>12</v>
      </c>
      <c r="D225" t="s">
        <v>13</v>
      </c>
      <c r="E225" t="s">
        <v>44</v>
      </c>
      <c r="F225" t="s">
        <v>15</v>
      </c>
      <c r="G225" t="s">
        <v>68</v>
      </c>
      <c r="H225">
        <v>2</v>
      </c>
      <c r="I225">
        <v>0.05</v>
      </c>
      <c r="J225">
        <v>149.41</v>
      </c>
      <c r="K225">
        <v>23.9</v>
      </c>
    </row>
    <row r="226" spans="1:11" x14ac:dyDescent="0.3">
      <c r="A226" t="s">
        <v>263</v>
      </c>
      <c r="B226" s="1">
        <v>45601</v>
      </c>
      <c r="C226" t="s">
        <v>12</v>
      </c>
      <c r="D226" t="s">
        <v>13</v>
      </c>
      <c r="E226" t="s">
        <v>14</v>
      </c>
      <c r="F226" t="s">
        <v>15</v>
      </c>
      <c r="G226" t="s">
        <v>19</v>
      </c>
      <c r="H226">
        <v>3</v>
      </c>
      <c r="I226">
        <v>0</v>
      </c>
      <c r="J226">
        <v>30</v>
      </c>
      <c r="K226">
        <v>1.7</v>
      </c>
    </row>
    <row r="227" spans="1:11" x14ac:dyDescent="0.3">
      <c r="A227" t="s">
        <v>264</v>
      </c>
      <c r="B227" s="1">
        <v>45601</v>
      </c>
      <c r="C227" t="s">
        <v>12</v>
      </c>
      <c r="D227" t="s">
        <v>34</v>
      </c>
      <c r="E227" t="s">
        <v>18</v>
      </c>
      <c r="F227" t="s">
        <v>15</v>
      </c>
      <c r="G227" t="s">
        <v>16</v>
      </c>
      <c r="H227">
        <v>2</v>
      </c>
      <c r="I227">
        <v>0.1</v>
      </c>
      <c r="J227">
        <v>134.4</v>
      </c>
      <c r="K227">
        <v>6.55</v>
      </c>
    </row>
    <row r="228" spans="1:11" x14ac:dyDescent="0.3">
      <c r="A228" t="s">
        <v>265</v>
      </c>
      <c r="B228" s="1">
        <v>45602</v>
      </c>
      <c r="C228" t="s">
        <v>26</v>
      </c>
      <c r="D228" t="s">
        <v>27</v>
      </c>
      <c r="E228" t="s">
        <v>23</v>
      </c>
      <c r="F228" t="s">
        <v>15</v>
      </c>
      <c r="G228" t="s">
        <v>32</v>
      </c>
      <c r="H228">
        <v>8</v>
      </c>
      <c r="I228">
        <v>0.1</v>
      </c>
      <c r="J228">
        <v>1133.6400000000001</v>
      </c>
      <c r="K228">
        <v>176.39</v>
      </c>
    </row>
    <row r="229" spans="1:11" x14ac:dyDescent="0.3">
      <c r="A229" t="s">
        <v>266</v>
      </c>
      <c r="B229" s="1">
        <v>45603</v>
      </c>
      <c r="C229" t="s">
        <v>26</v>
      </c>
      <c r="D229" t="s">
        <v>27</v>
      </c>
      <c r="E229" t="s">
        <v>44</v>
      </c>
      <c r="F229" t="s">
        <v>28</v>
      </c>
      <c r="G229" t="s">
        <v>47</v>
      </c>
      <c r="H229">
        <v>8</v>
      </c>
      <c r="I229">
        <v>0.2</v>
      </c>
      <c r="J229">
        <v>410.71</v>
      </c>
      <c r="K229">
        <v>15.29</v>
      </c>
    </row>
    <row r="230" spans="1:11" x14ac:dyDescent="0.3">
      <c r="A230" t="s">
        <v>267</v>
      </c>
      <c r="B230" s="1">
        <v>45604</v>
      </c>
      <c r="C230" t="s">
        <v>30</v>
      </c>
      <c r="D230" t="s">
        <v>50</v>
      </c>
      <c r="E230" t="s">
        <v>23</v>
      </c>
      <c r="F230" t="s">
        <v>28</v>
      </c>
      <c r="G230" t="s">
        <v>47</v>
      </c>
      <c r="H230">
        <v>2</v>
      </c>
      <c r="I230">
        <v>0.15</v>
      </c>
      <c r="J230">
        <v>362.86</v>
      </c>
      <c r="K230">
        <v>83.04</v>
      </c>
    </row>
    <row r="231" spans="1:11" x14ac:dyDescent="0.3">
      <c r="A231" t="s">
        <v>268</v>
      </c>
      <c r="B231" s="1">
        <v>45604</v>
      </c>
      <c r="C231" t="s">
        <v>30</v>
      </c>
      <c r="D231" t="s">
        <v>31</v>
      </c>
      <c r="E231" t="s">
        <v>44</v>
      </c>
      <c r="F231" t="s">
        <v>35</v>
      </c>
      <c r="G231" t="s">
        <v>19</v>
      </c>
      <c r="H231">
        <v>3</v>
      </c>
      <c r="I231">
        <v>0.3</v>
      </c>
      <c r="J231">
        <v>374.8</v>
      </c>
      <c r="K231">
        <v>28.97</v>
      </c>
    </row>
    <row r="232" spans="1:11" x14ac:dyDescent="0.3">
      <c r="A232" t="s">
        <v>269</v>
      </c>
      <c r="B232" s="1">
        <v>45607</v>
      </c>
      <c r="C232" t="s">
        <v>12</v>
      </c>
      <c r="D232" t="s">
        <v>21</v>
      </c>
      <c r="E232" t="s">
        <v>23</v>
      </c>
      <c r="F232" t="s">
        <v>28</v>
      </c>
      <c r="G232" t="s">
        <v>38</v>
      </c>
      <c r="H232">
        <v>9</v>
      </c>
      <c r="I232">
        <v>0.15</v>
      </c>
      <c r="J232">
        <v>865.65</v>
      </c>
      <c r="K232">
        <v>154.08000000000001</v>
      </c>
    </row>
    <row r="233" spans="1:11" x14ac:dyDescent="0.3">
      <c r="A233" t="s">
        <v>270</v>
      </c>
      <c r="B233" s="1">
        <v>45609</v>
      </c>
      <c r="C233" t="s">
        <v>30</v>
      </c>
      <c r="D233" t="s">
        <v>40</v>
      </c>
      <c r="E233" t="s">
        <v>23</v>
      </c>
      <c r="F233" t="s">
        <v>15</v>
      </c>
      <c r="G233" t="s">
        <v>68</v>
      </c>
      <c r="H233">
        <v>9</v>
      </c>
      <c r="I233">
        <v>0.2</v>
      </c>
      <c r="J233">
        <v>2344.2399999999998</v>
      </c>
      <c r="K233">
        <v>161.61000000000001</v>
      </c>
    </row>
    <row r="234" spans="1:11" x14ac:dyDescent="0.3">
      <c r="A234" t="s">
        <v>271</v>
      </c>
      <c r="B234" s="1">
        <v>45609</v>
      </c>
      <c r="C234" t="s">
        <v>12</v>
      </c>
      <c r="D234" t="s">
        <v>34</v>
      </c>
      <c r="E234" t="s">
        <v>14</v>
      </c>
      <c r="F234" t="s">
        <v>35</v>
      </c>
      <c r="G234" t="s">
        <v>47</v>
      </c>
      <c r="H234">
        <v>8</v>
      </c>
      <c r="I234">
        <v>0</v>
      </c>
      <c r="J234">
        <v>809.33</v>
      </c>
      <c r="K234">
        <v>77.09</v>
      </c>
    </row>
    <row r="235" spans="1:11" x14ac:dyDescent="0.3">
      <c r="A235" t="s">
        <v>272</v>
      </c>
      <c r="B235" s="1">
        <v>45609</v>
      </c>
      <c r="C235" t="s">
        <v>26</v>
      </c>
      <c r="D235" t="s">
        <v>55</v>
      </c>
      <c r="E235" t="s">
        <v>14</v>
      </c>
      <c r="F235" t="s">
        <v>15</v>
      </c>
      <c r="G235" t="s">
        <v>53</v>
      </c>
      <c r="H235">
        <v>2</v>
      </c>
      <c r="I235">
        <v>0.15</v>
      </c>
      <c r="J235">
        <v>168.9</v>
      </c>
      <c r="K235">
        <v>21.53</v>
      </c>
    </row>
    <row r="236" spans="1:11" x14ac:dyDescent="0.3">
      <c r="A236" t="s">
        <v>273</v>
      </c>
      <c r="B236" s="1">
        <v>45609</v>
      </c>
      <c r="C236" t="s">
        <v>30</v>
      </c>
      <c r="D236" t="s">
        <v>40</v>
      </c>
      <c r="E236" t="s">
        <v>23</v>
      </c>
      <c r="F236" t="s">
        <v>15</v>
      </c>
      <c r="G236" t="s">
        <v>38</v>
      </c>
      <c r="H236">
        <v>1</v>
      </c>
      <c r="I236">
        <v>0.2</v>
      </c>
      <c r="J236">
        <v>260.23</v>
      </c>
      <c r="K236">
        <v>-2.02</v>
      </c>
    </row>
    <row r="237" spans="1:11" x14ac:dyDescent="0.3">
      <c r="A237" t="s">
        <v>274</v>
      </c>
      <c r="B237" s="1">
        <v>45610</v>
      </c>
      <c r="C237" t="s">
        <v>12</v>
      </c>
      <c r="D237" t="s">
        <v>46</v>
      </c>
      <c r="E237" t="s">
        <v>23</v>
      </c>
      <c r="F237" t="s">
        <v>28</v>
      </c>
      <c r="G237" t="s">
        <v>32</v>
      </c>
      <c r="H237">
        <v>5</v>
      </c>
      <c r="I237">
        <v>0.15</v>
      </c>
      <c r="J237">
        <v>178.42</v>
      </c>
      <c r="K237">
        <v>7.26</v>
      </c>
    </row>
    <row r="238" spans="1:11" x14ac:dyDescent="0.3">
      <c r="A238" t="s">
        <v>275</v>
      </c>
      <c r="B238" s="1">
        <v>45614</v>
      </c>
      <c r="C238" t="s">
        <v>30</v>
      </c>
      <c r="D238" t="s">
        <v>50</v>
      </c>
      <c r="E238" t="s">
        <v>18</v>
      </c>
      <c r="F238" t="s">
        <v>15</v>
      </c>
      <c r="G238" t="s">
        <v>16</v>
      </c>
      <c r="H238">
        <v>5</v>
      </c>
      <c r="I238">
        <v>0.15</v>
      </c>
      <c r="J238">
        <v>1323.5</v>
      </c>
      <c r="K238">
        <v>-26.53</v>
      </c>
    </row>
    <row r="239" spans="1:11" x14ac:dyDescent="0.3">
      <c r="A239" t="s">
        <v>276</v>
      </c>
      <c r="B239" s="1">
        <v>45614</v>
      </c>
      <c r="C239" t="s">
        <v>12</v>
      </c>
      <c r="D239" t="s">
        <v>21</v>
      </c>
      <c r="E239" t="s">
        <v>23</v>
      </c>
      <c r="F239" t="s">
        <v>15</v>
      </c>
      <c r="G239" t="s">
        <v>47</v>
      </c>
      <c r="H239">
        <v>5</v>
      </c>
      <c r="I239">
        <v>0.2</v>
      </c>
      <c r="J239">
        <v>199.28</v>
      </c>
      <c r="K239">
        <v>16.8</v>
      </c>
    </row>
    <row r="240" spans="1:11" x14ac:dyDescent="0.3">
      <c r="A240" t="s">
        <v>277</v>
      </c>
      <c r="B240" s="1">
        <v>45615</v>
      </c>
      <c r="C240" t="s">
        <v>30</v>
      </c>
      <c r="D240" t="s">
        <v>40</v>
      </c>
      <c r="E240" t="s">
        <v>14</v>
      </c>
      <c r="F240" t="s">
        <v>28</v>
      </c>
      <c r="G240" t="s">
        <v>32</v>
      </c>
      <c r="H240">
        <v>9</v>
      </c>
      <c r="I240">
        <v>0.2</v>
      </c>
      <c r="J240">
        <v>1440.48</v>
      </c>
      <c r="K240">
        <v>271.62</v>
      </c>
    </row>
    <row r="241" spans="1:11" x14ac:dyDescent="0.3">
      <c r="A241" t="s">
        <v>278</v>
      </c>
      <c r="B241" s="1">
        <v>45615</v>
      </c>
      <c r="C241" t="s">
        <v>12</v>
      </c>
      <c r="D241" t="s">
        <v>13</v>
      </c>
      <c r="E241" t="s">
        <v>23</v>
      </c>
      <c r="F241" t="s">
        <v>28</v>
      </c>
      <c r="G241" t="s">
        <v>68</v>
      </c>
      <c r="H241">
        <v>5</v>
      </c>
      <c r="I241">
        <v>0</v>
      </c>
      <c r="J241">
        <v>469.53</v>
      </c>
      <c r="K241">
        <v>60.55</v>
      </c>
    </row>
    <row r="242" spans="1:11" x14ac:dyDescent="0.3">
      <c r="A242" t="s">
        <v>279</v>
      </c>
      <c r="B242" s="1">
        <v>45618</v>
      </c>
      <c r="C242" t="s">
        <v>30</v>
      </c>
      <c r="D242" t="s">
        <v>31</v>
      </c>
      <c r="E242" t="s">
        <v>14</v>
      </c>
      <c r="F242" t="s">
        <v>15</v>
      </c>
      <c r="G242" t="s">
        <v>24</v>
      </c>
      <c r="H242">
        <v>1</v>
      </c>
      <c r="I242">
        <v>0.05</v>
      </c>
      <c r="J242">
        <v>204.89</v>
      </c>
      <c r="K242">
        <v>26.78</v>
      </c>
    </row>
    <row r="243" spans="1:11" x14ac:dyDescent="0.3">
      <c r="A243" t="s">
        <v>280</v>
      </c>
      <c r="B243" s="1">
        <v>45619</v>
      </c>
      <c r="C243" t="s">
        <v>30</v>
      </c>
      <c r="D243" t="s">
        <v>31</v>
      </c>
      <c r="E243" t="s">
        <v>44</v>
      </c>
      <c r="F243" t="s">
        <v>15</v>
      </c>
      <c r="G243" t="s">
        <v>47</v>
      </c>
      <c r="H243">
        <v>2</v>
      </c>
      <c r="I243">
        <v>0.1</v>
      </c>
      <c r="J243">
        <v>421.78</v>
      </c>
      <c r="K243">
        <v>50.8</v>
      </c>
    </row>
    <row r="244" spans="1:11" x14ac:dyDescent="0.3">
      <c r="A244" t="s">
        <v>281</v>
      </c>
      <c r="B244" s="1">
        <v>45619</v>
      </c>
      <c r="C244" t="s">
        <v>12</v>
      </c>
      <c r="D244" t="s">
        <v>46</v>
      </c>
      <c r="E244" t="s">
        <v>44</v>
      </c>
      <c r="F244" t="s">
        <v>15</v>
      </c>
      <c r="G244" t="s">
        <v>68</v>
      </c>
      <c r="H244">
        <v>1</v>
      </c>
      <c r="I244">
        <v>0.3</v>
      </c>
      <c r="J244">
        <v>32.76</v>
      </c>
      <c r="K244">
        <v>2.33</v>
      </c>
    </row>
    <row r="245" spans="1:11" x14ac:dyDescent="0.3">
      <c r="A245" t="s">
        <v>282</v>
      </c>
      <c r="B245" s="1">
        <v>45620</v>
      </c>
      <c r="C245" t="s">
        <v>12</v>
      </c>
      <c r="D245" t="s">
        <v>34</v>
      </c>
      <c r="E245" t="s">
        <v>44</v>
      </c>
      <c r="F245" t="s">
        <v>15</v>
      </c>
      <c r="G245" t="s">
        <v>53</v>
      </c>
      <c r="H245">
        <v>1</v>
      </c>
      <c r="I245">
        <v>0</v>
      </c>
      <c r="J245">
        <v>122.47</v>
      </c>
      <c r="K245">
        <v>27.06</v>
      </c>
    </row>
    <row r="246" spans="1:11" x14ac:dyDescent="0.3">
      <c r="A246" t="s">
        <v>283</v>
      </c>
      <c r="B246" s="1">
        <v>45621</v>
      </c>
      <c r="C246" t="s">
        <v>26</v>
      </c>
      <c r="D246" t="s">
        <v>55</v>
      </c>
      <c r="E246" t="s">
        <v>18</v>
      </c>
      <c r="F246" t="s">
        <v>28</v>
      </c>
      <c r="G246" t="s">
        <v>47</v>
      </c>
      <c r="H246">
        <v>9</v>
      </c>
      <c r="I246">
        <v>0.1</v>
      </c>
      <c r="J246">
        <v>2023.81</v>
      </c>
      <c r="K246">
        <v>149.5</v>
      </c>
    </row>
    <row r="247" spans="1:11" x14ac:dyDescent="0.3">
      <c r="A247" t="s">
        <v>284</v>
      </c>
      <c r="B247" s="1">
        <v>45621</v>
      </c>
      <c r="C247" t="s">
        <v>30</v>
      </c>
      <c r="D247" t="s">
        <v>40</v>
      </c>
      <c r="E247" t="s">
        <v>23</v>
      </c>
      <c r="F247" t="s">
        <v>28</v>
      </c>
      <c r="G247" t="s">
        <v>19</v>
      </c>
      <c r="H247">
        <v>8</v>
      </c>
      <c r="I247">
        <v>0.1</v>
      </c>
      <c r="J247">
        <v>1482.84</v>
      </c>
      <c r="K247">
        <v>118.9</v>
      </c>
    </row>
    <row r="248" spans="1:11" x14ac:dyDescent="0.3">
      <c r="A248" t="s">
        <v>285</v>
      </c>
      <c r="B248" s="1">
        <v>45621</v>
      </c>
      <c r="C248" t="s">
        <v>26</v>
      </c>
      <c r="D248" t="s">
        <v>27</v>
      </c>
      <c r="E248" t="s">
        <v>44</v>
      </c>
      <c r="F248" t="s">
        <v>28</v>
      </c>
      <c r="G248" t="s">
        <v>16</v>
      </c>
      <c r="H248">
        <v>4</v>
      </c>
      <c r="I248">
        <v>0.1</v>
      </c>
      <c r="J248">
        <v>632.6</v>
      </c>
      <c r="K248">
        <v>80.94</v>
      </c>
    </row>
    <row r="249" spans="1:11" x14ac:dyDescent="0.3">
      <c r="A249" t="s">
        <v>286</v>
      </c>
      <c r="B249" s="1">
        <v>45623</v>
      </c>
      <c r="C249" t="s">
        <v>12</v>
      </c>
      <c r="D249" t="s">
        <v>21</v>
      </c>
      <c r="E249" t="s">
        <v>23</v>
      </c>
      <c r="F249" t="s">
        <v>15</v>
      </c>
      <c r="G249" t="s">
        <v>38</v>
      </c>
      <c r="H249">
        <v>9</v>
      </c>
      <c r="I249">
        <v>0.1</v>
      </c>
      <c r="J249">
        <v>888.12</v>
      </c>
      <c r="K249">
        <v>198.32</v>
      </c>
    </row>
    <row r="250" spans="1:11" x14ac:dyDescent="0.3">
      <c r="A250" t="s">
        <v>287</v>
      </c>
      <c r="B250" s="1">
        <v>45626</v>
      </c>
      <c r="C250" t="s">
        <v>12</v>
      </c>
      <c r="D250" t="s">
        <v>34</v>
      </c>
      <c r="E250" t="s">
        <v>18</v>
      </c>
      <c r="F250" t="s">
        <v>28</v>
      </c>
      <c r="G250" t="s">
        <v>32</v>
      </c>
      <c r="H250">
        <v>8</v>
      </c>
      <c r="I250">
        <v>0.15</v>
      </c>
      <c r="J250">
        <v>573.44000000000005</v>
      </c>
      <c r="K250">
        <v>47.41</v>
      </c>
    </row>
    <row r="251" spans="1:11" x14ac:dyDescent="0.3">
      <c r="A251" t="s">
        <v>288</v>
      </c>
      <c r="B251" s="1">
        <v>45627</v>
      </c>
      <c r="C251" t="s">
        <v>30</v>
      </c>
      <c r="D251" t="s">
        <v>40</v>
      </c>
      <c r="E251" t="s">
        <v>44</v>
      </c>
      <c r="F251" t="s">
        <v>15</v>
      </c>
      <c r="G251" t="s">
        <v>38</v>
      </c>
      <c r="H251">
        <v>1</v>
      </c>
      <c r="I251">
        <v>0.1</v>
      </c>
      <c r="J251">
        <v>351.6</v>
      </c>
      <c r="K251">
        <v>43.63</v>
      </c>
    </row>
    <row r="252" spans="1:11" x14ac:dyDescent="0.3">
      <c r="A252" t="s">
        <v>289</v>
      </c>
      <c r="B252" s="1">
        <v>45630</v>
      </c>
      <c r="C252" t="s">
        <v>30</v>
      </c>
      <c r="D252" t="s">
        <v>31</v>
      </c>
      <c r="E252" t="s">
        <v>18</v>
      </c>
      <c r="F252" t="s">
        <v>28</v>
      </c>
      <c r="G252" t="s">
        <v>68</v>
      </c>
      <c r="H252">
        <v>8</v>
      </c>
      <c r="I252">
        <v>0.1</v>
      </c>
      <c r="J252">
        <v>2257.38</v>
      </c>
      <c r="K252">
        <v>193.92</v>
      </c>
    </row>
    <row r="253" spans="1:11" x14ac:dyDescent="0.3">
      <c r="A253" t="s">
        <v>290</v>
      </c>
      <c r="B253" s="1">
        <v>45631</v>
      </c>
      <c r="C253" t="s">
        <v>12</v>
      </c>
      <c r="D253" t="s">
        <v>34</v>
      </c>
      <c r="E253" t="s">
        <v>44</v>
      </c>
      <c r="F253" t="s">
        <v>28</v>
      </c>
      <c r="G253" t="s">
        <v>24</v>
      </c>
      <c r="H253">
        <v>6</v>
      </c>
      <c r="I253">
        <v>0.1</v>
      </c>
      <c r="J253">
        <v>762.83</v>
      </c>
      <c r="K253">
        <v>54.53</v>
      </c>
    </row>
    <row r="254" spans="1:11" x14ac:dyDescent="0.3">
      <c r="A254" t="s">
        <v>291</v>
      </c>
      <c r="B254" s="1">
        <v>45633</v>
      </c>
      <c r="C254" t="s">
        <v>26</v>
      </c>
      <c r="D254" t="s">
        <v>27</v>
      </c>
      <c r="E254" t="s">
        <v>14</v>
      </c>
      <c r="F254" t="s">
        <v>28</v>
      </c>
      <c r="G254" t="s">
        <v>47</v>
      </c>
      <c r="H254">
        <v>1</v>
      </c>
      <c r="I254">
        <v>0.3</v>
      </c>
      <c r="J254">
        <v>91.51</v>
      </c>
      <c r="K254">
        <v>23.18</v>
      </c>
    </row>
    <row r="255" spans="1:11" x14ac:dyDescent="0.3">
      <c r="A255" t="s">
        <v>292</v>
      </c>
      <c r="B255" s="1">
        <v>45633</v>
      </c>
      <c r="C255" t="s">
        <v>12</v>
      </c>
      <c r="D255" t="s">
        <v>46</v>
      </c>
      <c r="E255" t="s">
        <v>23</v>
      </c>
      <c r="F255" t="s">
        <v>15</v>
      </c>
      <c r="G255" t="s">
        <v>32</v>
      </c>
      <c r="H255">
        <v>5</v>
      </c>
      <c r="I255">
        <v>0.2</v>
      </c>
      <c r="J255">
        <v>427.27</v>
      </c>
      <c r="K255">
        <v>30.83</v>
      </c>
    </row>
    <row r="256" spans="1:11" x14ac:dyDescent="0.3">
      <c r="A256" t="s">
        <v>293</v>
      </c>
      <c r="B256" s="1">
        <v>45635</v>
      </c>
      <c r="C256" t="s">
        <v>12</v>
      </c>
      <c r="D256" t="s">
        <v>34</v>
      </c>
      <c r="E256" t="s">
        <v>23</v>
      </c>
      <c r="F256" t="s">
        <v>28</v>
      </c>
      <c r="G256" t="s">
        <v>32</v>
      </c>
      <c r="H256">
        <v>8</v>
      </c>
      <c r="I256">
        <v>0.3</v>
      </c>
      <c r="J256">
        <v>407.33</v>
      </c>
      <c r="K256">
        <v>33.5</v>
      </c>
    </row>
    <row r="257" spans="1:11" x14ac:dyDescent="0.3">
      <c r="A257" t="s">
        <v>294</v>
      </c>
      <c r="B257" s="1">
        <v>45635</v>
      </c>
      <c r="C257" t="s">
        <v>30</v>
      </c>
      <c r="D257" t="s">
        <v>40</v>
      </c>
      <c r="E257" t="s">
        <v>44</v>
      </c>
      <c r="F257" t="s">
        <v>35</v>
      </c>
      <c r="G257" t="s">
        <v>16</v>
      </c>
      <c r="H257">
        <v>9</v>
      </c>
      <c r="I257">
        <v>0.15</v>
      </c>
      <c r="J257">
        <v>3068.26</v>
      </c>
      <c r="K257">
        <v>316.33999999999997</v>
      </c>
    </row>
    <row r="258" spans="1:11" x14ac:dyDescent="0.3">
      <c r="A258" t="s">
        <v>295</v>
      </c>
      <c r="B258" s="1">
        <v>45637</v>
      </c>
      <c r="C258" t="s">
        <v>30</v>
      </c>
      <c r="D258" t="s">
        <v>40</v>
      </c>
      <c r="E258" t="s">
        <v>44</v>
      </c>
      <c r="F258" t="s">
        <v>15</v>
      </c>
      <c r="G258" t="s">
        <v>24</v>
      </c>
      <c r="H258">
        <v>7</v>
      </c>
      <c r="I258">
        <v>0.15</v>
      </c>
      <c r="J258">
        <v>2685.14</v>
      </c>
      <c r="K258">
        <v>266.95</v>
      </c>
    </row>
    <row r="259" spans="1:11" x14ac:dyDescent="0.3">
      <c r="A259" t="s">
        <v>296</v>
      </c>
      <c r="B259" s="1">
        <v>45637</v>
      </c>
      <c r="C259" t="s">
        <v>12</v>
      </c>
      <c r="D259" t="s">
        <v>34</v>
      </c>
      <c r="E259" t="s">
        <v>18</v>
      </c>
      <c r="F259" t="s">
        <v>15</v>
      </c>
      <c r="G259" t="s">
        <v>19</v>
      </c>
      <c r="H259">
        <v>4</v>
      </c>
      <c r="I259">
        <v>0.1</v>
      </c>
      <c r="J259">
        <v>202.9</v>
      </c>
      <c r="K259">
        <v>30.71</v>
      </c>
    </row>
    <row r="260" spans="1:11" x14ac:dyDescent="0.3">
      <c r="A260" t="s">
        <v>297</v>
      </c>
      <c r="B260" s="1">
        <v>45638</v>
      </c>
      <c r="C260" t="s">
        <v>26</v>
      </c>
      <c r="D260" t="s">
        <v>27</v>
      </c>
      <c r="E260" t="s">
        <v>23</v>
      </c>
      <c r="F260" t="s">
        <v>28</v>
      </c>
      <c r="G260" t="s">
        <v>32</v>
      </c>
      <c r="H260">
        <v>5</v>
      </c>
      <c r="I260">
        <v>0.05</v>
      </c>
      <c r="J260">
        <v>1241.45</v>
      </c>
      <c r="K260">
        <v>220</v>
      </c>
    </row>
    <row r="261" spans="1:11" x14ac:dyDescent="0.3">
      <c r="A261" t="s">
        <v>298</v>
      </c>
      <c r="B261" s="1">
        <v>45640</v>
      </c>
      <c r="C261" t="s">
        <v>30</v>
      </c>
      <c r="D261" t="s">
        <v>31</v>
      </c>
      <c r="E261" t="s">
        <v>44</v>
      </c>
      <c r="F261" t="s">
        <v>15</v>
      </c>
      <c r="G261" t="s">
        <v>47</v>
      </c>
      <c r="H261">
        <v>9</v>
      </c>
      <c r="I261">
        <v>0.1</v>
      </c>
      <c r="J261">
        <v>2592.8200000000002</v>
      </c>
      <c r="K261">
        <v>720.79</v>
      </c>
    </row>
    <row r="262" spans="1:11" x14ac:dyDescent="0.3">
      <c r="A262" t="s">
        <v>299</v>
      </c>
      <c r="B262" s="1">
        <v>45640</v>
      </c>
      <c r="C262" t="s">
        <v>30</v>
      </c>
      <c r="D262" t="s">
        <v>31</v>
      </c>
      <c r="E262" t="s">
        <v>18</v>
      </c>
      <c r="F262" t="s">
        <v>35</v>
      </c>
      <c r="G262" t="s">
        <v>16</v>
      </c>
      <c r="H262">
        <v>5</v>
      </c>
      <c r="I262">
        <v>0.15</v>
      </c>
      <c r="J262">
        <v>1139.3499999999999</v>
      </c>
      <c r="K262">
        <v>49.36</v>
      </c>
    </row>
    <row r="263" spans="1:11" x14ac:dyDescent="0.3">
      <c r="A263" t="s">
        <v>300</v>
      </c>
      <c r="B263" s="1">
        <v>45640</v>
      </c>
      <c r="C263" t="s">
        <v>30</v>
      </c>
      <c r="D263" t="s">
        <v>50</v>
      </c>
      <c r="E263" t="s">
        <v>23</v>
      </c>
      <c r="F263" t="s">
        <v>35</v>
      </c>
      <c r="G263" t="s">
        <v>47</v>
      </c>
      <c r="H263">
        <v>8</v>
      </c>
      <c r="I263">
        <v>0.15</v>
      </c>
      <c r="J263">
        <v>1223.42</v>
      </c>
      <c r="K263">
        <v>63.85</v>
      </c>
    </row>
    <row r="264" spans="1:11" x14ac:dyDescent="0.3">
      <c r="A264" t="s">
        <v>301</v>
      </c>
      <c r="B264" s="1">
        <v>45647</v>
      </c>
      <c r="C264" t="s">
        <v>12</v>
      </c>
      <c r="D264" t="s">
        <v>46</v>
      </c>
      <c r="E264" t="s">
        <v>14</v>
      </c>
      <c r="F264" t="s">
        <v>15</v>
      </c>
      <c r="G264" t="s">
        <v>68</v>
      </c>
      <c r="H264">
        <v>3</v>
      </c>
      <c r="I264">
        <v>0.05</v>
      </c>
      <c r="J264">
        <v>357.77</v>
      </c>
      <c r="K264">
        <v>53.59</v>
      </c>
    </row>
    <row r="265" spans="1:11" x14ac:dyDescent="0.3">
      <c r="A265" t="s">
        <v>302</v>
      </c>
      <c r="B265" s="1">
        <v>45647</v>
      </c>
      <c r="C265" t="s">
        <v>30</v>
      </c>
      <c r="D265" t="s">
        <v>50</v>
      </c>
      <c r="E265" t="s">
        <v>18</v>
      </c>
      <c r="F265" t="s">
        <v>35</v>
      </c>
      <c r="G265" t="s">
        <v>16</v>
      </c>
      <c r="H265">
        <v>8</v>
      </c>
      <c r="I265">
        <v>0.05</v>
      </c>
      <c r="J265">
        <v>2057.16</v>
      </c>
      <c r="K265">
        <v>286.86</v>
      </c>
    </row>
    <row r="266" spans="1:11" x14ac:dyDescent="0.3">
      <c r="A266" t="s">
        <v>303</v>
      </c>
      <c r="B266" s="1">
        <v>45648</v>
      </c>
      <c r="C266" t="s">
        <v>26</v>
      </c>
      <c r="D266" t="s">
        <v>55</v>
      </c>
      <c r="E266" t="s">
        <v>14</v>
      </c>
      <c r="F266" t="s">
        <v>15</v>
      </c>
      <c r="G266" t="s">
        <v>16</v>
      </c>
      <c r="H266">
        <v>3</v>
      </c>
      <c r="I266">
        <v>0.15</v>
      </c>
      <c r="J266">
        <v>54.62</v>
      </c>
      <c r="K266">
        <v>4.3</v>
      </c>
    </row>
    <row r="267" spans="1:11" x14ac:dyDescent="0.3">
      <c r="A267" t="s">
        <v>304</v>
      </c>
      <c r="B267" s="1">
        <v>45650</v>
      </c>
      <c r="C267" t="s">
        <v>12</v>
      </c>
      <c r="D267" t="s">
        <v>46</v>
      </c>
      <c r="E267" t="s">
        <v>14</v>
      </c>
      <c r="F267" t="s">
        <v>15</v>
      </c>
      <c r="G267" t="s">
        <v>24</v>
      </c>
      <c r="H267">
        <v>6</v>
      </c>
      <c r="I267">
        <v>0.15</v>
      </c>
      <c r="J267">
        <v>561.41</v>
      </c>
      <c r="K267">
        <v>1.86</v>
      </c>
    </row>
    <row r="268" spans="1:11" x14ac:dyDescent="0.3">
      <c r="A268" t="s">
        <v>305</v>
      </c>
      <c r="B268" s="1">
        <v>45650</v>
      </c>
      <c r="C268" t="s">
        <v>12</v>
      </c>
      <c r="D268" t="s">
        <v>21</v>
      </c>
      <c r="E268" t="s">
        <v>18</v>
      </c>
      <c r="F268" t="s">
        <v>15</v>
      </c>
      <c r="G268" t="s">
        <v>47</v>
      </c>
      <c r="H268">
        <v>1</v>
      </c>
      <c r="I268">
        <v>0.15</v>
      </c>
      <c r="J268">
        <v>16.440000000000001</v>
      </c>
      <c r="K268">
        <v>2.12</v>
      </c>
    </row>
    <row r="269" spans="1:11" x14ac:dyDescent="0.3">
      <c r="A269" t="s">
        <v>306</v>
      </c>
      <c r="B269" s="1">
        <v>45651</v>
      </c>
      <c r="C269" t="s">
        <v>26</v>
      </c>
      <c r="D269" t="s">
        <v>55</v>
      </c>
      <c r="E269" t="s">
        <v>44</v>
      </c>
      <c r="F269" t="s">
        <v>28</v>
      </c>
      <c r="G269" t="s">
        <v>24</v>
      </c>
      <c r="H269">
        <v>7</v>
      </c>
      <c r="I269">
        <v>0.15</v>
      </c>
      <c r="J269">
        <v>566.65</v>
      </c>
      <c r="K269">
        <v>122.08</v>
      </c>
    </row>
    <row r="270" spans="1:11" x14ac:dyDescent="0.3">
      <c r="A270" t="s">
        <v>307</v>
      </c>
      <c r="B270" s="1">
        <v>45652</v>
      </c>
      <c r="C270" t="s">
        <v>12</v>
      </c>
      <c r="D270" t="s">
        <v>34</v>
      </c>
      <c r="E270" t="s">
        <v>23</v>
      </c>
      <c r="F270" t="s">
        <v>35</v>
      </c>
      <c r="G270" t="s">
        <v>24</v>
      </c>
      <c r="H270">
        <v>7</v>
      </c>
      <c r="I270">
        <v>0</v>
      </c>
      <c r="J270">
        <v>766.61</v>
      </c>
      <c r="K270">
        <v>103.96</v>
      </c>
    </row>
    <row r="271" spans="1:11" x14ac:dyDescent="0.3">
      <c r="A271" t="s">
        <v>308</v>
      </c>
      <c r="B271" s="1">
        <v>45654</v>
      </c>
      <c r="C271" t="s">
        <v>30</v>
      </c>
      <c r="D271" t="s">
        <v>31</v>
      </c>
      <c r="E271" t="s">
        <v>14</v>
      </c>
      <c r="F271" t="s">
        <v>35</v>
      </c>
      <c r="G271" t="s">
        <v>19</v>
      </c>
      <c r="H271">
        <v>3</v>
      </c>
      <c r="I271">
        <v>0.15</v>
      </c>
      <c r="J271">
        <v>472.71</v>
      </c>
      <c r="K271">
        <v>51.95</v>
      </c>
    </row>
    <row r="272" spans="1:11" x14ac:dyDescent="0.3">
      <c r="A272" t="s">
        <v>309</v>
      </c>
      <c r="B272" s="1">
        <v>45654</v>
      </c>
      <c r="C272" t="s">
        <v>26</v>
      </c>
      <c r="D272" t="s">
        <v>27</v>
      </c>
      <c r="E272" t="s">
        <v>23</v>
      </c>
      <c r="F272" t="s">
        <v>28</v>
      </c>
      <c r="G272" t="s">
        <v>19</v>
      </c>
      <c r="H272">
        <v>5</v>
      </c>
      <c r="I272">
        <v>0.1</v>
      </c>
      <c r="J272">
        <v>643.29</v>
      </c>
      <c r="K272">
        <v>-19.21</v>
      </c>
    </row>
    <row r="273" spans="1:11" x14ac:dyDescent="0.3">
      <c r="A273" t="s">
        <v>310</v>
      </c>
      <c r="B273" s="1">
        <v>45655</v>
      </c>
      <c r="C273" t="s">
        <v>12</v>
      </c>
      <c r="D273" t="s">
        <v>13</v>
      </c>
      <c r="E273" t="s">
        <v>23</v>
      </c>
      <c r="F273" t="s">
        <v>28</v>
      </c>
      <c r="G273" t="s">
        <v>32</v>
      </c>
      <c r="H273">
        <v>5</v>
      </c>
      <c r="I273">
        <v>0.1</v>
      </c>
      <c r="J273">
        <v>418</v>
      </c>
      <c r="K273">
        <v>89.26</v>
      </c>
    </row>
    <row r="274" spans="1:11" x14ac:dyDescent="0.3">
      <c r="A274" t="s">
        <v>311</v>
      </c>
      <c r="B274" s="1">
        <v>45655</v>
      </c>
      <c r="C274" t="s">
        <v>12</v>
      </c>
      <c r="D274" t="s">
        <v>34</v>
      </c>
      <c r="E274" t="s">
        <v>18</v>
      </c>
      <c r="F274" t="s">
        <v>35</v>
      </c>
      <c r="G274" t="s">
        <v>53</v>
      </c>
      <c r="H274">
        <v>8</v>
      </c>
      <c r="I274">
        <v>0.2</v>
      </c>
      <c r="J274">
        <v>116.08</v>
      </c>
      <c r="K274">
        <v>2.14</v>
      </c>
    </row>
    <row r="275" spans="1:11" x14ac:dyDescent="0.3">
      <c r="A275" t="s">
        <v>312</v>
      </c>
      <c r="B275" s="1">
        <v>45656</v>
      </c>
      <c r="C275" t="s">
        <v>26</v>
      </c>
      <c r="D275" t="s">
        <v>55</v>
      </c>
      <c r="E275" t="s">
        <v>14</v>
      </c>
      <c r="F275" t="s">
        <v>15</v>
      </c>
      <c r="G275" t="s">
        <v>19</v>
      </c>
      <c r="H275">
        <v>1</v>
      </c>
      <c r="I275">
        <v>0</v>
      </c>
      <c r="J275">
        <v>193.2</v>
      </c>
      <c r="K275">
        <v>54.65</v>
      </c>
    </row>
    <row r="276" spans="1:11" x14ac:dyDescent="0.3">
      <c r="A276" t="s">
        <v>313</v>
      </c>
      <c r="B276" s="1">
        <v>45657</v>
      </c>
      <c r="C276" t="s">
        <v>30</v>
      </c>
      <c r="D276" t="s">
        <v>50</v>
      </c>
      <c r="E276" t="s">
        <v>14</v>
      </c>
      <c r="F276" t="s">
        <v>35</v>
      </c>
      <c r="G276" t="s">
        <v>19</v>
      </c>
      <c r="H276">
        <v>8</v>
      </c>
      <c r="I276">
        <v>0.05</v>
      </c>
      <c r="J276">
        <v>2014.5</v>
      </c>
      <c r="K276">
        <v>267.55</v>
      </c>
    </row>
    <row r="277" spans="1:11" x14ac:dyDescent="0.3">
      <c r="A277" t="s">
        <v>314</v>
      </c>
      <c r="B277" s="1">
        <v>45662</v>
      </c>
      <c r="C277" t="s">
        <v>12</v>
      </c>
      <c r="D277" t="s">
        <v>13</v>
      </c>
      <c r="E277" t="s">
        <v>14</v>
      </c>
      <c r="F277" t="s">
        <v>35</v>
      </c>
      <c r="G277" t="s">
        <v>68</v>
      </c>
      <c r="H277">
        <v>4</v>
      </c>
      <c r="I277">
        <v>0.1</v>
      </c>
      <c r="J277">
        <v>319.43</v>
      </c>
      <c r="K277">
        <v>4.58</v>
      </c>
    </row>
    <row r="278" spans="1:11" x14ac:dyDescent="0.3">
      <c r="A278" t="s">
        <v>315</v>
      </c>
      <c r="B278" s="1">
        <v>45662</v>
      </c>
      <c r="C278" t="s">
        <v>30</v>
      </c>
      <c r="D278" t="s">
        <v>31</v>
      </c>
      <c r="E278" t="s">
        <v>18</v>
      </c>
      <c r="F278" t="s">
        <v>15</v>
      </c>
      <c r="G278" t="s">
        <v>32</v>
      </c>
      <c r="H278">
        <v>8</v>
      </c>
      <c r="I278">
        <v>0</v>
      </c>
      <c r="J278">
        <v>1608.7</v>
      </c>
      <c r="K278">
        <v>445.48</v>
      </c>
    </row>
    <row r="279" spans="1:11" x14ac:dyDescent="0.3">
      <c r="A279" t="s">
        <v>316</v>
      </c>
      <c r="B279" s="1">
        <v>45662</v>
      </c>
      <c r="C279" t="s">
        <v>12</v>
      </c>
      <c r="D279" t="s">
        <v>46</v>
      </c>
      <c r="E279" t="s">
        <v>14</v>
      </c>
      <c r="F279" t="s">
        <v>28</v>
      </c>
      <c r="G279" t="s">
        <v>53</v>
      </c>
      <c r="H279">
        <v>5</v>
      </c>
      <c r="I279">
        <v>0.15</v>
      </c>
      <c r="J279">
        <v>512.26</v>
      </c>
      <c r="K279">
        <v>66.260000000000005</v>
      </c>
    </row>
    <row r="280" spans="1:11" x14ac:dyDescent="0.3">
      <c r="A280" t="s">
        <v>317</v>
      </c>
      <c r="B280" s="1">
        <v>45663</v>
      </c>
      <c r="C280" t="s">
        <v>30</v>
      </c>
      <c r="D280" t="s">
        <v>50</v>
      </c>
      <c r="E280" t="s">
        <v>18</v>
      </c>
      <c r="F280" t="s">
        <v>28</v>
      </c>
      <c r="G280" t="s">
        <v>38</v>
      </c>
      <c r="H280">
        <v>8</v>
      </c>
      <c r="I280">
        <v>0.1</v>
      </c>
      <c r="J280">
        <v>2774.04</v>
      </c>
      <c r="K280">
        <v>535.91</v>
      </c>
    </row>
    <row r="281" spans="1:11" x14ac:dyDescent="0.3">
      <c r="A281" t="s">
        <v>318</v>
      </c>
      <c r="B281" s="1">
        <v>45665</v>
      </c>
      <c r="C281" t="s">
        <v>12</v>
      </c>
      <c r="D281" t="s">
        <v>34</v>
      </c>
      <c r="E281" t="s">
        <v>44</v>
      </c>
      <c r="F281" t="s">
        <v>35</v>
      </c>
      <c r="G281" t="s">
        <v>68</v>
      </c>
      <c r="H281">
        <v>8</v>
      </c>
      <c r="I281">
        <v>0.05</v>
      </c>
      <c r="J281">
        <v>782.66</v>
      </c>
      <c r="K281">
        <v>88.23</v>
      </c>
    </row>
    <row r="282" spans="1:11" x14ac:dyDescent="0.3">
      <c r="A282" t="s">
        <v>319</v>
      </c>
      <c r="B282" s="1">
        <v>45667</v>
      </c>
      <c r="C282" t="s">
        <v>26</v>
      </c>
      <c r="D282" t="s">
        <v>43</v>
      </c>
      <c r="E282" t="s">
        <v>14</v>
      </c>
      <c r="F282" t="s">
        <v>28</v>
      </c>
      <c r="G282" t="s">
        <v>19</v>
      </c>
      <c r="H282">
        <v>1</v>
      </c>
      <c r="I282">
        <v>0</v>
      </c>
      <c r="J282">
        <v>161.49</v>
      </c>
      <c r="K282">
        <v>22.69</v>
      </c>
    </row>
    <row r="283" spans="1:11" x14ac:dyDescent="0.3">
      <c r="A283" t="s">
        <v>320</v>
      </c>
      <c r="B283" s="1">
        <v>45668</v>
      </c>
      <c r="C283" t="s">
        <v>12</v>
      </c>
      <c r="D283" t="s">
        <v>13</v>
      </c>
      <c r="E283" t="s">
        <v>14</v>
      </c>
      <c r="F283" t="s">
        <v>28</v>
      </c>
      <c r="G283" t="s">
        <v>32</v>
      </c>
      <c r="H283">
        <v>5</v>
      </c>
      <c r="I283">
        <v>0.15</v>
      </c>
      <c r="J283">
        <v>332.77</v>
      </c>
      <c r="K283">
        <v>31.62</v>
      </c>
    </row>
    <row r="284" spans="1:11" x14ac:dyDescent="0.3">
      <c r="A284" t="s">
        <v>321</v>
      </c>
      <c r="B284" s="1">
        <v>45669</v>
      </c>
      <c r="C284" t="s">
        <v>30</v>
      </c>
      <c r="D284" t="s">
        <v>50</v>
      </c>
      <c r="E284" t="s">
        <v>44</v>
      </c>
      <c r="F284" t="s">
        <v>28</v>
      </c>
      <c r="G284" t="s">
        <v>19</v>
      </c>
      <c r="H284">
        <v>9</v>
      </c>
      <c r="I284">
        <v>0.1</v>
      </c>
      <c r="J284">
        <v>1695.98</v>
      </c>
      <c r="K284">
        <v>291.44</v>
      </c>
    </row>
    <row r="285" spans="1:11" x14ac:dyDescent="0.3">
      <c r="A285" t="s">
        <v>322</v>
      </c>
      <c r="B285" s="1">
        <v>45669</v>
      </c>
      <c r="C285" t="s">
        <v>30</v>
      </c>
      <c r="D285" t="s">
        <v>31</v>
      </c>
      <c r="E285" t="s">
        <v>23</v>
      </c>
      <c r="F285" t="s">
        <v>35</v>
      </c>
      <c r="G285" t="s">
        <v>38</v>
      </c>
      <c r="H285">
        <v>9</v>
      </c>
      <c r="I285">
        <v>0.1</v>
      </c>
      <c r="J285">
        <v>1912.58</v>
      </c>
      <c r="K285">
        <v>141.07</v>
      </c>
    </row>
    <row r="286" spans="1:11" x14ac:dyDescent="0.3">
      <c r="A286" t="s">
        <v>323</v>
      </c>
      <c r="B286" s="1">
        <v>45671</v>
      </c>
      <c r="C286" t="s">
        <v>12</v>
      </c>
      <c r="D286" t="s">
        <v>46</v>
      </c>
      <c r="E286" t="s">
        <v>18</v>
      </c>
      <c r="F286" t="s">
        <v>15</v>
      </c>
      <c r="G286" t="s">
        <v>19</v>
      </c>
      <c r="H286">
        <v>5</v>
      </c>
      <c r="I286">
        <v>0.05</v>
      </c>
      <c r="J286">
        <v>527.79</v>
      </c>
      <c r="K286">
        <v>79.87</v>
      </c>
    </row>
    <row r="287" spans="1:11" x14ac:dyDescent="0.3">
      <c r="A287" t="s">
        <v>324</v>
      </c>
      <c r="B287" s="1">
        <v>45671</v>
      </c>
      <c r="C287" t="s">
        <v>12</v>
      </c>
      <c r="D287" t="s">
        <v>46</v>
      </c>
      <c r="E287" t="s">
        <v>14</v>
      </c>
      <c r="F287" t="s">
        <v>28</v>
      </c>
      <c r="G287" t="s">
        <v>53</v>
      </c>
      <c r="H287">
        <v>6</v>
      </c>
      <c r="I287">
        <v>0.1</v>
      </c>
      <c r="J287">
        <v>446.55</v>
      </c>
      <c r="K287">
        <v>40.520000000000003</v>
      </c>
    </row>
    <row r="288" spans="1:11" x14ac:dyDescent="0.3">
      <c r="A288" t="s">
        <v>325</v>
      </c>
      <c r="B288" s="1">
        <v>45672</v>
      </c>
      <c r="C288" t="s">
        <v>12</v>
      </c>
      <c r="D288" t="s">
        <v>34</v>
      </c>
      <c r="E288" t="s">
        <v>18</v>
      </c>
      <c r="F288" t="s">
        <v>28</v>
      </c>
      <c r="G288" t="s">
        <v>38</v>
      </c>
      <c r="H288">
        <v>3</v>
      </c>
      <c r="I288">
        <v>0</v>
      </c>
      <c r="J288">
        <v>303.66000000000003</v>
      </c>
      <c r="K288">
        <v>32.450000000000003</v>
      </c>
    </row>
    <row r="289" spans="1:11" x14ac:dyDescent="0.3">
      <c r="A289" t="s">
        <v>326</v>
      </c>
      <c r="B289" s="1">
        <v>45677</v>
      </c>
      <c r="C289" t="s">
        <v>12</v>
      </c>
      <c r="D289" t="s">
        <v>46</v>
      </c>
      <c r="E289" t="s">
        <v>44</v>
      </c>
      <c r="F289" t="s">
        <v>15</v>
      </c>
      <c r="G289" t="s">
        <v>16</v>
      </c>
      <c r="H289">
        <v>8</v>
      </c>
      <c r="I289">
        <v>0.2</v>
      </c>
      <c r="J289">
        <v>574.78</v>
      </c>
      <c r="K289">
        <v>28.86</v>
      </c>
    </row>
    <row r="290" spans="1:11" x14ac:dyDescent="0.3">
      <c r="A290" t="s">
        <v>327</v>
      </c>
      <c r="B290" s="1">
        <v>45677</v>
      </c>
      <c r="C290" t="s">
        <v>12</v>
      </c>
      <c r="D290" t="s">
        <v>13</v>
      </c>
      <c r="E290" t="s">
        <v>18</v>
      </c>
      <c r="F290" t="s">
        <v>35</v>
      </c>
      <c r="G290" t="s">
        <v>47</v>
      </c>
      <c r="H290">
        <v>7</v>
      </c>
      <c r="I290">
        <v>0.1</v>
      </c>
      <c r="J290">
        <v>378.87</v>
      </c>
      <c r="K290">
        <v>53.58</v>
      </c>
    </row>
    <row r="291" spans="1:11" x14ac:dyDescent="0.3">
      <c r="A291" t="s">
        <v>328</v>
      </c>
      <c r="B291" s="1">
        <v>45680</v>
      </c>
      <c r="C291" t="s">
        <v>12</v>
      </c>
      <c r="D291" t="s">
        <v>34</v>
      </c>
      <c r="E291" t="s">
        <v>18</v>
      </c>
      <c r="F291" t="s">
        <v>35</v>
      </c>
      <c r="G291" t="s">
        <v>16</v>
      </c>
      <c r="H291">
        <v>9</v>
      </c>
      <c r="I291">
        <v>0.1</v>
      </c>
      <c r="J291">
        <v>768.66</v>
      </c>
      <c r="K291">
        <v>37.200000000000003</v>
      </c>
    </row>
    <row r="292" spans="1:11" x14ac:dyDescent="0.3">
      <c r="A292" t="s">
        <v>329</v>
      </c>
      <c r="B292" s="1">
        <v>45682</v>
      </c>
      <c r="C292" t="s">
        <v>12</v>
      </c>
      <c r="D292" t="s">
        <v>46</v>
      </c>
      <c r="E292" t="s">
        <v>14</v>
      </c>
      <c r="F292" t="s">
        <v>28</v>
      </c>
      <c r="G292" t="s">
        <v>38</v>
      </c>
      <c r="H292">
        <v>2</v>
      </c>
      <c r="I292">
        <v>0.15</v>
      </c>
      <c r="J292">
        <v>141.68</v>
      </c>
      <c r="K292">
        <v>32.869999999999997</v>
      </c>
    </row>
    <row r="293" spans="1:11" x14ac:dyDescent="0.3">
      <c r="A293" t="s">
        <v>330</v>
      </c>
      <c r="B293" s="1">
        <v>45682</v>
      </c>
      <c r="C293" t="s">
        <v>30</v>
      </c>
      <c r="D293" t="s">
        <v>40</v>
      </c>
      <c r="E293" t="s">
        <v>18</v>
      </c>
      <c r="F293" t="s">
        <v>28</v>
      </c>
      <c r="G293" t="s">
        <v>32</v>
      </c>
      <c r="H293">
        <v>2</v>
      </c>
      <c r="I293">
        <v>0.2</v>
      </c>
      <c r="J293">
        <v>295.17</v>
      </c>
      <c r="K293">
        <v>56.95</v>
      </c>
    </row>
    <row r="294" spans="1:11" x14ac:dyDescent="0.3">
      <c r="A294" t="s">
        <v>331</v>
      </c>
      <c r="B294" s="1">
        <v>45686</v>
      </c>
      <c r="C294" t="s">
        <v>30</v>
      </c>
      <c r="D294" t="s">
        <v>50</v>
      </c>
      <c r="E294" t="s">
        <v>44</v>
      </c>
      <c r="F294" t="s">
        <v>35</v>
      </c>
      <c r="G294" t="s">
        <v>68</v>
      </c>
      <c r="H294">
        <v>7</v>
      </c>
      <c r="I294">
        <v>0.1</v>
      </c>
      <c r="J294">
        <v>1379.28</v>
      </c>
      <c r="K294">
        <v>311</v>
      </c>
    </row>
    <row r="295" spans="1:11" x14ac:dyDescent="0.3">
      <c r="A295" t="s">
        <v>332</v>
      </c>
      <c r="B295" s="1">
        <v>45687</v>
      </c>
      <c r="C295" t="s">
        <v>30</v>
      </c>
      <c r="D295" t="s">
        <v>50</v>
      </c>
      <c r="E295" t="s">
        <v>44</v>
      </c>
      <c r="F295" t="s">
        <v>15</v>
      </c>
      <c r="G295" t="s">
        <v>19</v>
      </c>
      <c r="H295">
        <v>5</v>
      </c>
      <c r="I295">
        <v>0.1</v>
      </c>
      <c r="J295">
        <v>1113.94</v>
      </c>
      <c r="K295">
        <v>285.11</v>
      </c>
    </row>
    <row r="296" spans="1:11" x14ac:dyDescent="0.3">
      <c r="A296" t="s">
        <v>333</v>
      </c>
      <c r="B296" s="1">
        <v>45687</v>
      </c>
      <c r="C296" t="s">
        <v>26</v>
      </c>
      <c r="D296" t="s">
        <v>43</v>
      </c>
      <c r="E296" t="s">
        <v>18</v>
      </c>
      <c r="F296" t="s">
        <v>15</v>
      </c>
      <c r="G296" t="s">
        <v>24</v>
      </c>
      <c r="H296">
        <v>6</v>
      </c>
      <c r="I296">
        <v>0.05</v>
      </c>
      <c r="J296">
        <v>1120.75</v>
      </c>
      <c r="K296">
        <v>101.93</v>
      </c>
    </row>
    <row r="297" spans="1:11" x14ac:dyDescent="0.3">
      <c r="A297" t="s">
        <v>334</v>
      </c>
      <c r="B297" s="1">
        <v>45688</v>
      </c>
      <c r="C297" t="s">
        <v>12</v>
      </c>
      <c r="D297" t="s">
        <v>34</v>
      </c>
      <c r="E297" t="s">
        <v>44</v>
      </c>
      <c r="F297" t="s">
        <v>15</v>
      </c>
      <c r="G297" t="s">
        <v>53</v>
      </c>
      <c r="H297">
        <v>7</v>
      </c>
      <c r="I297">
        <v>0.15</v>
      </c>
      <c r="J297">
        <v>726.97</v>
      </c>
      <c r="K297">
        <v>138.93</v>
      </c>
    </row>
    <row r="298" spans="1:11" x14ac:dyDescent="0.3">
      <c r="A298" t="s">
        <v>335</v>
      </c>
      <c r="B298" s="1">
        <v>45690</v>
      </c>
      <c r="C298" t="s">
        <v>30</v>
      </c>
      <c r="D298" t="s">
        <v>50</v>
      </c>
      <c r="E298" t="s">
        <v>23</v>
      </c>
      <c r="F298" t="s">
        <v>35</v>
      </c>
      <c r="G298" t="s">
        <v>47</v>
      </c>
      <c r="H298">
        <v>1</v>
      </c>
      <c r="I298">
        <v>0.3</v>
      </c>
      <c r="J298">
        <v>70.88</v>
      </c>
      <c r="K298">
        <v>8.7899999999999991</v>
      </c>
    </row>
    <row r="299" spans="1:11" x14ac:dyDescent="0.3">
      <c r="A299" t="s">
        <v>336</v>
      </c>
      <c r="B299" s="1">
        <v>45692</v>
      </c>
      <c r="C299" t="s">
        <v>26</v>
      </c>
      <c r="D299" t="s">
        <v>43</v>
      </c>
      <c r="E299" t="s">
        <v>14</v>
      </c>
      <c r="F299" t="s">
        <v>15</v>
      </c>
      <c r="G299" t="s">
        <v>19</v>
      </c>
      <c r="H299">
        <v>4</v>
      </c>
      <c r="I299">
        <v>0</v>
      </c>
      <c r="J299">
        <v>713.29</v>
      </c>
      <c r="K299">
        <v>139.9</v>
      </c>
    </row>
    <row r="300" spans="1:11" x14ac:dyDescent="0.3">
      <c r="A300" t="s">
        <v>337</v>
      </c>
      <c r="B300" s="1">
        <v>45692</v>
      </c>
      <c r="C300" t="s">
        <v>26</v>
      </c>
      <c r="D300" t="s">
        <v>43</v>
      </c>
      <c r="E300" t="s">
        <v>23</v>
      </c>
      <c r="F300" t="s">
        <v>28</v>
      </c>
      <c r="G300" t="s">
        <v>53</v>
      </c>
      <c r="H300">
        <v>6</v>
      </c>
      <c r="I300">
        <v>0.15</v>
      </c>
      <c r="J300">
        <v>958.39</v>
      </c>
      <c r="K300">
        <v>132.04</v>
      </c>
    </row>
    <row r="301" spans="1:11" x14ac:dyDescent="0.3">
      <c r="A301" t="s">
        <v>338</v>
      </c>
      <c r="B301" s="1">
        <v>45693</v>
      </c>
      <c r="C301" t="s">
        <v>30</v>
      </c>
      <c r="D301" t="s">
        <v>50</v>
      </c>
      <c r="E301" t="s">
        <v>18</v>
      </c>
      <c r="F301" t="s">
        <v>28</v>
      </c>
      <c r="G301" t="s">
        <v>38</v>
      </c>
      <c r="H301">
        <v>5</v>
      </c>
      <c r="I301">
        <v>0.15</v>
      </c>
      <c r="J301">
        <v>1364.14</v>
      </c>
      <c r="K301">
        <v>145.94999999999999</v>
      </c>
    </row>
    <row r="302" spans="1:11" x14ac:dyDescent="0.3">
      <c r="A302" t="s">
        <v>339</v>
      </c>
      <c r="B302" s="1">
        <v>45696</v>
      </c>
      <c r="C302" t="s">
        <v>26</v>
      </c>
      <c r="D302" t="s">
        <v>27</v>
      </c>
      <c r="E302" t="s">
        <v>18</v>
      </c>
      <c r="F302" t="s">
        <v>28</v>
      </c>
      <c r="G302" t="s">
        <v>68</v>
      </c>
      <c r="H302">
        <v>3</v>
      </c>
      <c r="I302">
        <v>0</v>
      </c>
      <c r="J302">
        <v>478.62</v>
      </c>
      <c r="K302">
        <v>81.040000000000006</v>
      </c>
    </row>
    <row r="303" spans="1:11" x14ac:dyDescent="0.3">
      <c r="A303" t="s">
        <v>340</v>
      </c>
      <c r="B303" s="1">
        <v>45697</v>
      </c>
      <c r="C303" t="s">
        <v>30</v>
      </c>
      <c r="D303" t="s">
        <v>40</v>
      </c>
      <c r="E303" t="s">
        <v>18</v>
      </c>
      <c r="F303" t="s">
        <v>35</v>
      </c>
      <c r="G303" t="s">
        <v>47</v>
      </c>
      <c r="H303">
        <v>7</v>
      </c>
      <c r="I303">
        <v>0.15</v>
      </c>
      <c r="J303">
        <v>1571.35</v>
      </c>
      <c r="K303">
        <v>256.69</v>
      </c>
    </row>
    <row r="304" spans="1:11" x14ac:dyDescent="0.3">
      <c r="A304" t="s">
        <v>341</v>
      </c>
      <c r="B304" s="1">
        <v>45698</v>
      </c>
      <c r="C304" t="s">
        <v>30</v>
      </c>
      <c r="D304" t="s">
        <v>50</v>
      </c>
      <c r="E304" t="s">
        <v>14</v>
      </c>
      <c r="F304" t="s">
        <v>35</v>
      </c>
      <c r="G304" t="s">
        <v>47</v>
      </c>
      <c r="H304">
        <v>6</v>
      </c>
      <c r="I304">
        <v>0.3</v>
      </c>
      <c r="J304">
        <v>407.47</v>
      </c>
      <c r="K304">
        <v>-0.59</v>
      </c>
    </row>
    <row r="305" spans="1:11" x14ac:dyDescent="0.3">
      <c r="A305" t="s">
        <v>342</v>
      </c>
      <c r="B305" s="1">
        <v>45705</v>
      </c>
      <c r="C305" t="s">
        <v>12</v>
      </c>
      <c r="D305" t="s">
        <v>34</v>
      </c>
      <c r="E305" t="s">
        <v>14</v>
      </c>
      <c r="F305" t="s">
        <v>15</v>
      </c>
      <c r="G305" t="s">
        <v>24</v>
      </c>
      <c r="H305">
        <v>9</v>
      </c>
      <c r="I305">
        <v>0.15</v>
      </c>
      <c r="J305">
        <v>442.11</v>
      </c>
      <c r="K305">
        <v>41.03</v>
      </c>
    </row>
    <row r="306" spans="1:11" x14ac:dyDescent="0.3">
      <c r="A306" t="s">
        <v>343</v>
      </c>
      <c r="B306" s="1">
        <v>45707</v>
      </c>
      <c r="C306" t="s">
        <v>30</v>
      </c>
      <c r="D306" t="s">
        <v>31</v>
      </c>
      <c r="E306" t="s">
        <v>23</v>
      </c>
      <c r="F306" t="s">
        <v>35</v>
      </c>
      <c r="G306" t="s">
        <v>19</v>
      </c>
      <c r="H306">
        <v>3</v>
      </c>
      <c r="I306">
        <v>0</v>
      </c>
      <c r="J306">
        <v>1109.46</v>
      </c>
      <c r="K306">
        <v>77.06</v>
      </c>
    </row>
    <row r="307" spans="1:11" x14ac:dyDescent="0.3">
      <c r="A307" t="s">
        <v>344</v>
      </c>
      <c r="B307" s="1">
        <v>45709</v>
      </c>
      <c r="C307" t="s">
        <v>26</v>
      </c>
      <c r="D307" t="s">
        <v>43</v>
      </c>
      <c r="E307" t="s">
        <v>23</v>
      </c>
      <c r="F307" t="s">
        <v>15</v>
      </c>
      <c r="G307" t="s">
        <v>47</v>
      </c>
      <c r="H307">
        <v>3</v>
      </c>
      <c r="I307">
        <v>0.2</v>
      </c>
      <c r="J307">
        <v>652.01</v>
      </c>
      <c r="K307">
        <v>-26.93</v>
      </c>
    </row>
    <row r="308" spans="1:11" x14ac:dyDescent="0.3">
      <c r="A308" t="s">
        <v>345</v>
      </c>
      <c r="B308" s="1">
        <v>45709</v>
      </c>
      <c r="C308" t="s">
        <v>12</v>
      </c>
      <c r="D308" t="s">
        <v>46</v>
      </c>
      <c r="E308" t="s">
        <v>23</v>
      </c>
      <c r="F308" t="s">
        <v>35</v>
      </c>
      <c r="G308" t="s">
        <v>47</v>
      </c>
      <c r="H308">
        <v>9</v>
      </c>
      <c r="I308">
        <v>0.2</v>
      </c>
      <c r="J308">
        <v>675.42</v>
      </c>
      <c r="K308">
        <v>22.49</v>
      </c>
    </row>
    <row r="309" spans="1:11" x14ac:dyDescent="0.3">
      <c r="A309" t="s">
        <v>346</v>
      </c>
      <c r="B309" s="1">
        <v>45710</v>
      </c>
      <c r="C309" t="s">
        <v>12</v>
      </c>
      <c r="D309" t="s">
        <v>21</v>
      </c>
      <c r="E309" t="s">
        <v>14</v>
      </c>
      <c r="F309" t="s">
        <v>28</v>
      </c>
      <c r="G309" t="s">
        <v>24</v>
      </c>
      <c r="H309">
        <v>3</v>
      </c>
      <c r="I309">
        <v>0.15</v>
      </c>
      <c r="J309">
        <v>160.97</v>
      </c>
      <c r="K309">
        <v>13.81</v>
      </c>
    </row>
    <row r="310" spans="1:11" x14ac:dyDescent="0.3">
      <c r="A310" t="s">
        <v>347</v>
      </c>
      <c r="B310" s="1">
        <v>45711</v>
      </c>
      <c r="C310" t="s">
        <v>30</v>
      </c>
      <c r="D310" t="s">
        <v>40</v>
      </c>
      <c r="E310" t="s">
        <v>18</v>
      </c>
      <c r="F310" t="s">
        <v>35</v>
      </c>
      <c r="G310" t="s">
        <v>38</v>
      </c>
      <c r="H310">
        <v>6</v>
      </c>
      <c r="I310">
        <v>0</v>
      </c>
      <c r="J310">
        <v>1423.17</v>
      </c>
      <c r="K310">
        <v>223.42</v>
      </c>
    </row>
    <row r="311" spans="1:11" x14ac:dyDescent="0.3">
      <c r="A311" t="s">
        <v>348</v>
      </c>
      <c r="B311" s="1">
        <v>45715</v>
      </c>
      <c r="C311" t="s">
        <v>30</v>
      </c>
      <c r="D311" t="s">
        <v>31</v>
      </c>
      <c r="E311" t="s">
        <v>44</v>
      </c>
      <c r="F311" t="s">
        <v>28</v>
      </c>
      <c r="G311" t="s">
        <v>53</v>
      </c>
      <c r="H311">
        <v>3</v>
      </c>
      <c r="I311">
        <v>0.2</v>
      </c>
      <c r="J311">
        <v>492.83</v>
      </c>
      <c r="K311">
        <v>47.51</v>
      </c>
    </row>
    <row r="312" spans="1:11" x14ac:dyDescent="0.3">
      <c r="A312" t="s">
        <v>349</v>
      </c>
      <c r="B312" s="1">
        <v>45717</v>
      </c>
      <c r="C312" t="s">
        <v>26</v>
      </c>
      <c r="D312" t="s">
        <v>27</v>
      </c>
      <c r="E312" t="s">
        <v>18</v>
      </c>
      <c r="F312" t="s">
        <v>35</v>
      </c>
      <c r="G312" t="s">
        <v>68</v>
      </c>
      <c r="H312">
        <v>2</v>
      </c>
      <c r="I312">
        <v>0.1</v>
      </c>
      <c r="J312">
        <v>396.49</v>
      </c>
      <c r="K312">
        <v>126.61</v>
      </c>
    </row>
    <row r="313" spans="1:11" x14ac:dyDescent="0.3">
      <c r="A313" t="s">
        <v>350</v>
      </c>
      <c r="B313" s="1">
        <v>45720</v>
      </c>
      <c r="C313" t="s">
        <v>12</v>
      </c>
      <c r="D313" t="s">
        <v>21</v>
      </c>
      <c r="E313" t="s">
        <v>44</v>
      </c>
      <c r="F313" t="s">
        <v>35</v>
      </c>
      <c r="G313" t="s">
        <v>53</v>
      </c>
      <c r="H313">
        <v>1</v>
      </c>
      <c r="I313">
        <v>0.1</v>
      </c>
      <c r="J313">
        <v>74.88</v>
      </c>
      <c r="K313">
        <v>16.989999999999998</v>
      </c>
    </row>
    <row r="314" spans="1:11" x14ac:dyDescent="0.3">
      <c r="A314" t="s">
        <v>351</v>
      </c>
      <c r="B314" s="1">
        <v>45720</v>
      </c>
      <c r="C314" t="s">
        <v>12</v>
      </c>
      <c r="D314" t="s">
        <v>46</v>
      </c>
      <c r="E314" t="s">
        <v>14</v>
      </c>
      <c r="F314" t="s">
        <v>15</v>
      </c>
      <c r="G314" t="s">
        <v>24</v>
      </c>
      <c r="H314">
        <v>6</v>
      </c>
      <c r="I314">
        <v>0.1</v>
      </c>
      <c r="J314">
        <v>321.83999999999997</v>
      </c>
      <c r="K314">
        <v>51.29</v>
      </c>
    </row>
    <row r="315" spans="1:11" x14ac:dyDescent="0.3">
      <c r="A315" t="s">
        <v>352</v>
      </c>
      <c r="B315" s="1">
        <v>45722</v>
      </c>
      <c r="C315" t="s">
        <v>30</v>
      </c>
      <c r="D315" t="s">
        <v>31</v>
      </c>
      <c r="E315" t="s">
        <v>44</v>
      </c>
      <c r="F315" t="s">
        <v>28</v>
      </c>
      <c r="G315" t="s">
        <v>24</v>
      </c>
      <c r="H315">
        <v>4</v>
      </c>
      <c r="I315">
        <v>0</v>
      </c>
      <c r="J315">
        <v>1188.58</v>
      </c>
      <c r="K315">
        <v>86.34</v>
      </c>
    </row>
    <row r="316" spans="1:11" x14ac:dyDescent="0.3">
      <c r="A316" t="s">
        <v>353</v>
      </c>
      <c r="B316" s="1">
        <v>45723</v>
      </c>
      <c r="C316" t="s">
        <v>26</v>
      </c>
      <c r="D316" t="s">
        <v>43</v>
      </c>
      <c r="E316" t="s">
        <v>23</v>
      </c>
      <c r="F316" t="s">
        <v>35</v>
      </c>
      <c r="G316" t="s">
        <v>16</v>
      </c>
      <c r="H316">
        <v>9</v>
      </c>
      <c r="I316">
        <v>0.1</v>
      </c>
      <c r="J316">
        <v>1874.58</v>
      </c>
      <c r="K316">
        <v>346.03</v>
      </c>
    </row>
    <row r="317" spans="1:11" x14ac:dyDescent="0.3">
      <c r="A317" t="s">
        <v>354</v>
      </c>
      <c r="B317" s="1">
        <v>45726</v>
      </c>
      <c r="C317" t="s">
        <v>30</v>
      </c>
      <c r="D317" t="s">
        <v>40</v>
      </c>
      <c r="E317" t="s">
        <v>18</v>
      </c>
      <c r="F317" t="s">
        <v>15</v>
      </c>
      <c r="G317" t="s">
        <v>38</v>
      </c>
      <c r="H317">
        <v>5</v>
      </c>
      <c r="I317">
        <v>0.05</v>
      </c>
      <c r="J317">
        <v>1312.78</v>
      </c>
      <c r="K317">
        <v>130.55000000000001</v>
      </c>
    </row>
    <row r="318" spans="1:11" x14ac:dyDescent="0.3">
      <c r="A318" t="s">
        <v>355</v>
      </c>
      <c r="B318" s="1">
        <v>45726</v>
      </c>
      <c r="C318" t="s">
        <v>12</v>
      </c>
      <c r="D318" t="s">
        <v>46</v>
      </c>
      <c r="E318" t="s">
        <v>14</v>
      </c>
      <c r="F318" t="s">
        <v>28</v>
      </c>
      <c r="G318" t="s">
        <v>53</v>
      </c>
      <c r="H318">
        <v>6</v>
      </c>
      <c r="I318">
        <v>0.1</v>
      </c>
      <c r="J318">
        <v>395.73</v>
      </c>
      <c r="K318">
        <v>21.72</v>
      </c>
    </row>
    <row r="319" spans="1:11" x14ac:dyDescent="0.3">
      <c r="A319" t="s">
        <v>356</v>
      </c>
      <c r="B319" s="1">
        <v>45727</v>
      </c>
      <c r="C319" t="s">
        <v>26</v>
      </c>
      <c r="D319" t="s">
        <v>43</v>
      </c>
      <c r="E319" t="s">
        <v>14</v>
      </c>
      <c r="F319" t="s">
        <v>35</v>
      </c>
      <c r="G319" t="s">
        <v>68</v>
      </c>
      <c r="H319">
        <v>4</v>
      </c>
      <c r="I319">
        <v>0.2</v>
      </c>
      <c r="J319">
        <v>499.74</v>
      </c>
      <c r="K319">
        <v>68.53</v>
      </c>
    </row>
    <row r="320" spans="1:11" x14ac:dyDescent="0.3">
      <c r="A320" t="s">
        <v>357</v>
      </c>
      <c r="B320" s="1">
        <v>45731</v>
      </c>
      <c r="C320" t="s">
        <v>30</v>
      </c>
      <c r="D320" t="s">
        <v>50</v>
      </c>
      <c r="E320" t="s">
        <v>44</v>
      </c>
      <c r="F320" t="s">
        <v>28</v>
      </c>
      <c r="G320" t="s">
        <v>47</v>
      </c>
      <c r="H320">
        <v>1</v>
      </c>
      <c r="I320">
        <v>0.1</v>
      </c>
      <c r="J320">
        <v>139.81</v>
      </c>
      <c r="K320">
        <v>27.72</v>
      </c>
    </row>
    <row r="321" spans="1:11" x14ac:dyDescent="0.3">
      <c r="A321" t="s">
        <v>358</v>
      </c>
      <c r="B321" s="1">
        <v>45731</v>
      </c>
      <c r="C321" t="s">
        <v>30</v>
      </c>
      <c r="D321" t="s">
        <v>50</v>
      </c>
      <c r="E321" t="s">
        <v>44</v>
      </c>
      <c r="F321" t="s">
        <v>28</v>
      </c>
      <c r="G321" t="s">
        <v>16</v>
      </c>
      <c r="H321">
        <v>7</v>
      </c>
      <c r="I321">
        <v>0.1</v>
      </c>
      <c r="J321">
        <v>1834.37</v>
      </c>
      <c r="K321">
        <v>174.44</v>
      </c>
    </row>
    <row r="322" spans="1:11" x14ac:dyDescent="0.3">
      <c r="A322" t="s">
        <v>359</v>
      </c>
      <c r="B322" s="1">
        <v>45733</v>
      </c>
      <c r="C322" t="s">
        <v>12</v>
      </c>
      <c r="D322" t="s">
        <v>13</v>
      </c>
      <c r="E322" t="s">
        <v>44</v>
      </c>
      <c r="F322" t="s">
        <v>28</v>
      </c>
      <c r="G322" t="s">
        <v>19</v>
      </c>
      <c r="H322">
        <v>5</v>
      </c>
      <c r="I322">
        <v>0.1</v>
      </c>
      <c r="J322">
        <v>214.64</v>
      </c>
      <c r="K322">
        <v>19.77</v>
      </c>
    </row>
    <row r="323" spans="1:11" x14ac:dyDescent="0.3">
      <c r="A323" t="s">
        <v>360</v>
      </c>
      <c r="B323" s="1">
        <v>45734</v>
      </c>
      <c r="C323" t="s">
        <v>26</v>
      </c>
      <c r="D323" t="s">
        <v>43</v>
      </c>
      <c r="E323" t="s">
        <v>18</v>
      </c>
      <c r="F323" t="s">
        <v>35</v>
      </c>
      <c r="G323" t="s">
        <v>53</v>
      </c>
      <c r="H323">
        <v>8</v>
      </c>
      <c r="I323">
        <v>0.05</v>
      </c>
      <c r="J323">
        <v>1576.6</v>
      </c>
      <c r="K323">
        <v>44.64</v>
      </c>
    </row>
    <row r="324" spans="1:11" x14ac:dyDescent="0.3">
      <c r="A324" t="s">
        <v>361</v>
      </c>
      <c r="B324" s="1">
        <v>45734</v>
      </c>
      <c r="C324" t="s">
        <v>12</v>
      </c>
      <c r="D324" t="s">
        <v>21</v>
      </c>
      <c r="E324" t="s">
        <v>44</v>
      </c>
      <c r="F324" t="s">
        <v>15</v>
      </c>
      <c r="G324" t="s">
        <v>24</v>
      </c>
      <c r="H324">
        <v>3</v>
      </c>
      <c r="I324">
        <v>0.05</v>
      </c>
      <c r="J324">
        <v>112.07</v>
      </c>
      <c r="K324">
        <v>11.9</v>
      </c>
    </row>
    <row r="325" spans="1:11" x14ac:dyDescent="0.3">
      <c r="A325" t="s">
        <v>362</v>
      </c>
      <c r="B325" s="1">
        <v>45741</v>
      </c>
      <c r="C325" t="s">
        <v>26</v>
      </c>
      <c r="D325" t="s">
        <v>27</v>
      </c>
      <c r="E325" t="s">
        <v>18</v>
      </c>
      <c r="F325" t="s">
        <v>15</v>
      </c>
      <c r="G325" t="s">
        <v>16</v>
      </c>
      <c r="H325">
        <v>6</v>
      </c>
      <c r="I325">
        <v>0.15</v>
      </c>
      <c r="J325">
        <v>1390</v>
      </c>
      <c r="K325">
        <v>87.18</v>
      </c>
    </row>
    <row r="326" spans="1:11" x14ac:dyDescent="0.3">
      <c r="A326" t="s">
        <v>363</v>
      </c>
      <c r="B326" s="1">
        <v>45741</v>
      </c>
      <c r="C326" t="s">
        <v>12</v>
      </c>
      <c r="D326" t="s">
        <v>46</v>
      </c>
      <c r="E326" t="s">
        <v>44</v>
      </c>
      <c r="F326" t="s">
        <v>28</v>
      </c>
      <c r="G326" t="s">
        <v>16</v>
      </c>
      <c r="H326">
        <v>6</v>
      </c>
      <c r="I326">
        <v>0.15</v>
      </c>
      <c r="J326">
        <v>313.64999999999998</v>
      </c>
      <c r="K326">
        <v>47.51</v>
      </c>
    </row>
    <row r="327" spans="1:11" x14ac:dyDescent="0.3">
      <c r="A327" t="s">
        <v>364</v>
      </c>
      <c r="B327" s="1">
        <v>45743</v>
      </c>
      <c r="C327" t="s">
        <v>26</v>
      </c>
      <c r="D327" t="s">
        <v>55</v>
      </c>
      <c r="E327" t="s">
        <v>18</v>
      </c>
      <c r="F327" t="s">
        <v>15</v>
      </c>
      <c r="G327" t="s">
        <v>19</v>
      </c>
      <c r="H327">
        <v>4</v>
      </c>
      <c r="I327">
        <v>0.05</v>
      </c>
      <c r="J327">
        <v>651.95000000000005</v>
      </c>
      <c r="K327">
        <v>138.46</v>
      </c>
    </row>
    <row r="328" spans="1:11" x14ac:dyDescent="0.3">
      <c r="A328" t="s">
        <v>365</v>
      </c>
      <c r="B328" s="1">
        <v>45745</v>
      </c>
      <c r="C328" t="s">
        <v>30</v>
      </c>
      <c r="D328" t="s">
        <v>31</v>
      </c>
      <c r="E328" t="s">
        <v>23</v>
      </c>
      <c r="F328" t="s">
        <v>15</v>
      </c>
      <c r="G328" t="s">
        <v>24</v>
      </c>
      <c r="H328">
        <v>7</v>
      </c>
      <c r="I328">
        <v>0.1</v>
      </c>
      <c r="J328">
        <v>1709.09</v>
      </c>
      <c r="K328">
        <v>249.67</v>
      </c>
    </row>
    <row r="329" spans="1:11" x14ac:dyDescent="0.3">
      <c r="A329" t="s">
        <v>366</v>
      </c>
      <c r="B329" s="1">
        <v>45746</v>
      </c>
      <c r="C329" t="s">
        <v>30</v>
      </c>
      <c r="D329" t="s">
        <v>40</v>
      </c>
      <c r="E329" t="s">
        <v>14</v>
      </c>
      <c r="F329" t="s">
        <v>28</v>
      </c>
      <c r="G329" t="s">
        <v>19</v>
      </c>
      <c r="H329">
        <v>8</v>
      </c>
      <c r="I329">
        <v>0.2</v>
      </c>
      <c r="J329">
        <v>1687.09</v>
      </c>
      <c r="K329">
        <v>258.52999999999997</v>
      </c>
    </row>
    <row r="330" spans="1:11" x14ac:dyDescent="0.3">
      <c r="A330" t="s">
        <v>367</v>
      </c>
      <c r="B330" s="1">
        <v>45749</v>
      </c>
      <c r="C330" t="s">
        <v>12</v>
      </c>
      <c r="D330" t="s">
        <v>21</v>
      </c>
      <c r="E330" t="s">
        <v>18</v>
      </c>
      <c r="F330" t="s">
        <v>15</v>
      </c>
      <c r="G330" t="s">
        <v>53</v>
      </c>
      <c r="H330">
        <v>8</v>
      </c>
      <c r="I330">
        <v>0</v>
      </c>
      <c r="J330">
        <v>716.41</v>
      </c>
      <c r="K330">
        <v>70.069999999999993</v>
      </c>
    </row>
    <row r="331" spans="1:11" x14ac:dyDescent="0.3">
      <c r="A331" t="s">
        <v>368</v>
      </c>
      <c r="B331" s="1">
        <v>45751</v>
      </c>
      <c r="C331" t="s">
        <v>12</v>
      </c>
      <c r="D331" t="s">
        <v>34</v>
      </c>
      <c r="E331" t="s">
        <v>18</v>
      </c>
      <c r="F331" t="s">
        <v>35</v>
      </c>
      <c r="G331" t="s">
        <v>68</v>
      </c>
      <c r="H331">
        <v>1</v>
      </c>
      <c r="I331">
        <v>0</v>
      </c>
      <c r="J331">
        <v>103.9</v>
      </c>
      <c r="K331">
        <v>10.98</v>
      </c>
    </row>
    <row r="332" spans="1:11" x14ac:dyDescent="0.3">
      <c r="A332" t="s">
        <v>369</v>
      </c>
      <c r="B332" s="1">
        <v>45753</v>
      </c>
      <c r="C332" t="s">
        <v>30</v>
      </c>
      <c r="D332" t="s">
        <v>40</v>
      </c>
      <c r="E332" t="s">
        <v>18</v>
      </c>
      <c r="F332" t="s">
        <v>15</v>
      </c>
      <c r="G332" t="s">
        <v>68</v>
      </c>
      <c r="H332">
        <v>9</v>
      </c>
      <c r="I332">
        <v>0.1</v>
      </c>
      <c r="J332">
        <v>1774.46</v>
      </c>
      <c r="K332">
        <v>342.62</v>
      </c>
    </row>
    <row r="333" spans="1:11" x14ac:dyDescent="0.3">
      <c r="A333" t="s">
        <v>370</v>
      </c>
      <c r="B333" s="1">
        <v>45754</v>
      </c>
      <c r="C333" t="s">
        <v>12</v>
      </c>
      <c r="D333" t="s">
        <v>46</v>
      </c>
      <c r="E333" t="s">
        <v>14</v>
      </c>
      <c r="F333" t="s">
        <v>15</v>
      </c>
      <c r="G333" t="s">
        <v>68</v>
      </c>
      <c r="H333">
        <v>6</v>
      </c>
      <c r="I333">
        <v>0</v>
      </c>
      <c r="J333">
        <v>506.45</v>
      </c>
      <c r="K333">
        <v>78.64</v>
      </c>
    </row>
    <row r="334" spans="1:11" x14ac:dyDescent="0.3">
      <c r="A334" t="s">
        <v>371</v>
      </c>
      <c r="B334" s="1">
        <v>45757</v>
      </c>
      <c r="C334" t="s">
        <v>30</v>
      </c>
      <c r="D334" t="s">
        <v>31</v>
      </c>
      <c r="E334" t="s">
        <v>18</v>
      </c>
      <c r="F334" t="s">
        <v>15</v>
      </c>
      <c r="G334" t="s">
        <v>68</v>
      </c>
      <c r="H334">
        <v>2</v>
      </c>
      <c r="I334">
        <v>0.1</v>
      </c>
      <c r="J334">
        <v>406.7</v>
      </c>
      <c r="K334">
        <v>-1.63</v>
      </c>
    </row>
    <row r="335" spans="1:11" x14ac:dyDescent="0.3">
      <c r="A335" t="s">
        <v>372</v>
      </c>
      <c r="B335" s="1">
        <v>45758</v>
      </c>
      <c r="C335" t="s">
        <v>30</v>
      </c>
      <c r="D335" t="s">
        <v>40</v>
      </c>
      <c r="E335" t="s">
        <v>14</v>
      </c>
      <c r="F335" t="s">
        <v>28</v>
      </c>
      <c r="G335" t="s">
        <v>32</v>
      </c>
      <c r="H335">
        <v>8</v>
      </c>
      <c r="I335">
        <v>0.15</v>
      </c>
      <c r="J335">
        <v>1907.47</v>
      </c>
      <c r="K335">
        <v>227.79</v>
      </c>
    </row>
    <row r="336" spans="1:11" x14ac:dyDescent="0.3">
      <c r="A336" t="s">
        <v>373</v>
      </c>
      <c r="B336" s="1">
        <v>45760</v>
      </c>
      <c r="C336" t="s">
        <v>12</v>
      </c>
      <c r="D336" t="s">
        <v>46</v>
      </c>
      <c r="E336" t="s">
        <v>23</v>
      </c>
      <c r="F336" t="s">
        <v>35</v>
      </c>
      <c r="G336" t="s">
        <v>68</v>
      </c>
      <c r="H336">
        <v>7</v>
      </c>
      <c r="I336">
        <v>0.1</v>
      </c>
      <c r="J336">
        <v>609.44000000000005</v>
      </c>
      <c r="K336">
        <v>109.19</v>
      </c>
    </row>
    <row r="337" spans="1:11" x14ac:dyDescent="0.3">
      <c r="A337" t="s">
        <v>374</v>
      </c>
      <c r="B337" s="1">
        <v>45760</v>
      </c>
      <c r="C337" t="s">
        <v>30</v>
      </c>
      <c r="D337" t="s">
        <v>50</v>
      </c>
      <c r="E337" t="s">
        <v>44</v>
      </c>
      <c r="F337" t="s">
        <v>28</v>
      </c>
      <c r="G337" t="s">
        <v>19</v>
      </c>
      <c r="H337">
        <v>5</v>
      </c>
      <c r="I337">
        <v>0</v>
      </c>
      <c r="J337">
        <v>1228.9100000000001</v>
      </c>
      <c r="K337">
        <v>396.7</v>
      </c>
    </row>
    <row r="338" spans="1:11" x14ac:dyDescent="0.3">
      <c r="A338" t="s">
        <v>375</v>
      </c>
      <c r="B338" s="1">
        <v>45762</v>
      </c>
      <c r="C338" t="s">
        <v>30</v>
      </c>
      <c r="D338" t="s">
        <v>31</v>
      </c>
      <c r="E338" t="s">
        <v>23</v>
      </c>
      <c r="F338" t="s">
        <v>28</v>
      </c>
      <c r="G338" t="s">
        <v>32</v>
      </c>
      <c r="H338">
        <v>5</v>
      </c>
      <c r="I338">
        <v>0.05</v>
      </c>
      <c r="J338">
        <v>1209.95</v>
      </c>
      <c r="K338">
        <v>73.97</v>
      </c>
    </row>
    <row r="339" spans="1:11" x14ac:dyDescent="0.3">
      <c r="A339" t="s">
        <v>376</v>
      </c>
      <c r="B339" s="1">
        <v>45766</v>
      </c>
      <c r="C339" t="s">
        <v>12</v>
      </c>
      <c r="D339" t="s">
        <v>34</v>
      </c>
      <c r="E339" t="s">
        <v>23</v>
      </c>
      <c r="F339" t="s">
        <v>28</v>
      </c>
      <c r="G339" t="s">
        <v>47</v>
      </c>
      <c r="H339">
        <v>8</v>
      </c>
      <c r="I339">
        <v>0</v>
      </c>
      <c r="J339">
        <v>218.78</v>
      </c>
      <c r="K339">
        <v>41.54</v>
      </c>
    </row>
    <row r="340" spans="1:11" x14ac:dyDescent="0.3">
      <c r="A340" t="s">
        <v>377</v>
      </c>
      <c r="B340" s="1">
        <v>45767</v>
      </c>
      <c r="C340" t="s">
        <v>26</v>
      </c>
      <c r="D340" t="s">
        <v>55</v>
      </c>
      <c r="E340" t="s">
        <v>14</v>
      </c>
      <c r="F340" t="s">
        <v>28</v>
      </c>
      <c r="G340" t="s">
        <v>32</v>
      </c>
      <c r="H340">
        <v>8</v>
      </c>
      <c r="I340">
        <v>0.2</v>
      </c>
      <c r="J340">
        <v>869.22</v>
      </c>
      <c r="K340">
        <v>84.24</v>
      </c>
    </row>
    <row r="341" spans="1:11" x14ac:dyDescent="0.3">
      <c r="A341" t="s">
        <v>378</v>
      </c>
      <c r="B341" s="1">
        <v>45767</v>
      </c>
      <c r="C341" t="s">
        <v>12</v>
      </c>
      <c r="D341" t="s">
        <v>34</v>
      </c>
      <c r="E341" t="s">
        <v>18</v>
      </c>
      <c r="F341" t="s">
        <v>15</v>
      </c>
      <c r="G341" t="s">
        <v>24</v>
      </c>
      <c r="H341">
        <v>9</v>
      </c>
      <c r="I341">
        <v>0</v>
      </c>
      <c r="J341">
        <v>875.16</v>
      </c>
      <c r="K341">
        <v>235.81</v>
      </c>
    </row>
    <row r="342" spans="1:11" x14ac:dyDescent="0.3">
      <c r="A342" t="s">
        <v>379</v>
      </c>
      <c r="B342" s="1">
        <v>45767</v>
      </c>
      <c r="C342" t="s">
        <v>30</v>
      </c>
      <c r="D342" t="s">
        <v>50</v>
      </c>
      <c r="E342" t="s">
        <v>23</v>
      </c>
      <c r="F342" t="s">
        <v>28</v>
      </c>
      <c r="G342" t="s">
        <v>19</v>
      </c>
      <c r="H342">
        <v>8</v>
      </c>
      <c r="I342">
        <v>0.2</v>
      </c>
      <c r="J342">
        <v>1601.55</v>
      </c>
      <c r="K342">
        <v>434.62</v>
      </c>
    </row>
    <row r="343" spans="1:11" x14ac:dyDescent="0.3">
      <c r="A343" t="s">
        <v>380</v>
      </c>
      <c r="B343" s="1">
        <v>45768</v>
      </c>
      <c r="C343" t="s">
        <v>12</v>
      </c>
      <c r="D343" t="s">
        <v>46</v>
      </c>
      <c r="E343" t="s">
        <v>14</v>
      </c>
      <c r="F343" t="s">
        <v>28</v>
      </c>
      <c r="G343" t="s">
        <v>32</v>
      </c>
      <c r="H343">
        <v>3</v>
      </c>
      <c r="I343">
        <v>0.1</v>
      </c>
      <c r="J343">
        <v>172.8</v>
      </c>
      <c r="K343">
        <v>12.97</v>
      </c>
    </row>
    <row r="344" spans="1:11" x14ac:dyDescent="0.3">
      <c r="A344" t="s">
        <v>381</v>
      </c>
      <c r="B344" s="1">
        <v>45768</v>
      </c>
      <c r="C344" t="s">
        <v>30</v>
      </c>
      <c r="D344" t="s">
        <v>50</v>
      </c>
      <c r="E344" t="s">
        <v>18</v>
      </c>
      <c r="F344" t="s">
        <v>28</v>
      </c>
      <c r="G344" t="s">
        <v>16</v>
      </c>
      <c r="H344">
        <v>6</v>
      </c>
      <c r="I344">
        <v>0.1</v>
      </c>
      <c r="J344">
        <v>1795.36</v>
      </c>
      <c r="K344">
        <v>90.54</v>
      </c>
    </row>
    <row r="345" spans="1:11" x14ac:dyDescent="0.3">
      <c r="A345" t="s">
        <v>382</v>
      </c>
      <c r="B345" s="1">
        <v>45768</v>
      </c>
      <c r="C345" t="s">
        <v>26</v>
      </c>
      <c r="D345" t="s">
        <v>27</v>
      </c>
      <c r="E345" t="s">
        <v>14</v>
      </c>
      <c r="F345" t="s">
        <v>15</v>
      </c>
      <c r="G345" t="s">
        <v>19</v>
      </c>
      <c r="H345">
        <v>9</v>
      </c>
      <c r="I345">
        <v>0.1</v>
      </c>
      <c r="J345">
        <v>805.81</v>
      </c>
      <c r="K345">
        <v>188.73</v>
      </c>
    </row>
    <row r="346" spans="1:11" x14ac:dyDescent="0.3">
      <c r="A346" t="s">
        <v>383</v>
      </c>
      <c r="B346" s="1">
        <v>45769</v>
      </c>
      <c r="C346" t="s">
        <v>26</v>
      </c>
      <c r="D346" t="s">
        <v>27</v>
      </c>
      <c r="E346" t="s">
        <v>14</v>
      </c>
      <c r="F346" t="s">
        <v>28</v>
      </c>
      <c r="G346" t="s">
        <v>68</v>
      </c>
      <c r="H346">
        <v>4</v>
      </c>
      <c r="I346">
        <v>0.2</v>
      </c>
      <c r="J346">
        <v>728.74</v>
      </c>
      <c r="K346">
        <v>173.51</v>
      </c>
    </row>
    <row r="347" spans="1:11" x14ac:dyDescent="0.3">
      <c r="A347" t="s">
        <v>384</v>
      </c>
      <c r="B347" s="1">
        <v>45773</v>
      </c>
      <c r="C347" t="s">
        <v>12</v>
      </c>
      <c r="D347" t="s">
        <v>34</v>
      </c>
      <c r="E347" t="s">
        <v>14</v>
      </c>
      <c r="F347" t="s">
        <v>35</v>
      </c>
      <c r="G347" t="s">
        <v>32</v>
      </c>
      <c r="H347">
        <v>9</v>
      </c>
      <c r="I347">
        <v>0.15</v>
      </c>
      <c r="J347">
        <v>468.62</v>
      </c>
      <c r="K347">
        <v>70.569999999999993</v>
      </c>
    </row>
    <row r="348" spans="1:11" x14ac:dyDescent="0.3">
      <c r="A348" t="s">
        <v>385</v>
      </c>
      <c r="B348" s="1">
        <v>45776</v>
      </c>
      <c r="C348" t="s">
        <v>12</v>
      </c>
      <c r="D348" t="s">
        <v>34</v>
      </c>
      <c r="E348" t="s">
        <v>14</v>
      </c>
      <c r="F348" t="s">
        <v>28</v>
      </c>
      <c r="G348" t="s">
        <v>19</v>
      </c>
      <c r="H348">
        <v>9</v>
      </c>
      <c r="I348">
        <v>0.05</v>
      </c>
      <c r="J348">
        <v>935.63</v>
      </c>
      <c r="K348">
        <v>152.36000000000001</v>
      </c>
    </row>
    <row r="349" spans="1:11" x14ac:dyDescent="0.3">
      <c r="A349" t="s">
        <v>386</v>
      </c>
      <c r="B349" s="1">
        <v>45780</v>
      </c>
      <c r="C349" t="s">
        <v>12</v>
      </c>
      <c r="D349" t="s">
        <v>34</v>
      </c>
      <c r="E349" t="s">
        <v>23</v>
      </c>
      <c r="F349" t="s">
        <v>28</v>
      </c>
      <c r="G349" t="s">
        <v>32</v>
      </c>
      <c r="H349">
        <v>5</v>
      </c>
      <c r="I349">
        <v>0.15</v>
      </c>
      <c r="J349">
        <v>290.61</v>
      </c>
      <c r="K349">
        <v>60.32</v>
      </c>
    </row>
    <row r="350" spans="1:11" x14ac:dyDescent="0.3">
      <c r="A350" t="s">
        <v>387</v>
      </c>
      <c r="B350" s="1">
        <v>45781</v>
      </c>
      <c r="C350" t="s">
        <v>30</v>
      </c>
      <c r="D350" t="s">
        <v>31</v>
      </c>
      <c r="E350" t="s">
        <v>18</v>
      </c>
      <c r="F350" t="s">
        <v>28</v>
      </c>
      <c r="G350" t="s">
        <v>53</v>
      </c>
      <c r="H350">
        <v>7</v>
      </c>
      <c r="I350">
        <v>0.05</v>
      </c>
      <c r="J350">
        <v>1775.13</v>
      </c>
      <c r="K350">
        <v>179.06</v>
      </c>
    </row>
    <row r="351" spans="1:11" x14ac:dyDescent="0.3">
      <c r="A351" t="s">
        <v>388</v>
      </c>
      <c r="B351" s="1">
        <v>45781</v>
      </c>
      <c r="C351" t="s">
        <v>12</v>
      </c>
      <c r="D351" t="s">
        <v>34</v>
      </c>
      <c r="E351" t="s">
        <v>23</v>
      </c>
      <c r="F351" t="s">
        <v>35</v>
      </c>
      <c r="G351" t="s">
        <v>53</v>
      </c>
      <c r="H351">
        <v>6</v>
      </c>
      <c r="I351">
        <v>0.15</v>
      </c>
      <c r="J351">
        <v>208.49</v>
      </c>
      <c r="K351">
        <v>28.08</v>
      </c>
    </row>
    <row r="352" spans="1:11" x14ac:dyDescent="0.3">
      <c r="A352" t="s">
        <v>389</v>
      </c>
      <c r="B352" s="1">
        <v>45782</v>
      </c>
      <c r="C352" t="s">
        <v>30</v>
      </c>
      <c r="D352" t="s">
        <v>50</v>
      </c>
      <c r="E352" t="s">
        <v>18</v>
      </c>
      <c r="F352" t="s">
        <v>15</v>
      </c>
      <c r="G352" t="s">
        <v>47</v>
      </c>
      <c r="H352">
        <v>9</v>
      </c>
      <c r="I352">
        <v>0.15</v>
      </c>
      <c r="J352">
        <v>2025.92</v>
      </c>
      <c r="K352">
        <v>306.29000000000002</v>
      </c>
    </row>
    <row r="353" spans="1:11" x14ac:dyDescent="0.3">
      <c r="A353" t="s">
        <v>390</v>
      </c>
      <c r="B353" s="1">
        <v>45782</v>
      </c>
      <c r="C353" t="s">
        <v>12</v>
      </c>
      <c r="D353" t="s">
        <v>13</v>
      </c>
      <c r="E353" t="s">
        <v>18</v>
      </c>
      <c r="F353" t="s">
        <v>35</v>
      </c>
      <c r="G353" t="s">
        <v>68</v>
      </c>
      <c r="H353">
        <v>3</v>
      </c>
      <c r="I353">
        <v>0.1</v>
      </c>
      <c r="J353">
        <v>149.36000000000001</v>
      </c>
      <c r="K353">
        <v>8.84</v>
      </c>
    </row>
    <row r="354" spans="1:11" x14ac:dyDescent="0.3">
      <c r="A354" t="s">
        <v>391</v>
      </c>
      <c r="B354" s="1">
        <v>45784</v>
      </c>
      <c r="C354" t="s">
        <v>26</v>
      </c>
      <c r="D354" t="s">
        <v>27</v>
      </c>
      <c r="E354" t="s">
        <v>14</v>
      </c>
      <c r="F354" t="s">
        <v>28</v>
      </c>
      <c r="G354" t="s">
        <v>47</v>
      </c>
      <c r="H354">
        <v>3</v>
      </c>
      <c r="I354">
        <v>0.05</v>
      </c>
      <c r="J354">
        <v>627.63</v>
      </c>
      <c r="K354">
        <v>195.07</v>
      </c>
    </row>
    <row r="355" spans="1:11" x14ac:dyDescent="0.3">
      <c r="A355" t="s">
        <v>392</v>
      </c>
      <c r="B355" s="1">
        <v>45784</v>
      </c>
      <c r="C355" t="s">
        <v>26</v>
      </c>
      <c r="D355" t="s">
        <v>55</v>
      </c>
      <c r="E355" t="s">
        <v>44</v>
      </c>
      <c r="F355" t="s">
        <v>35</v>
      </c>
      <c r="G355" t="s">
        <v>38</v>
      </c>
      <c r="H355">
        <v>9</v>
      </c>
      <c r="I355">
        <v>0</v>
      </c>
      <c r="J355">
        <v>1420.52</v>
      </c>
      <c r="K355">
        <v>3.81</v>
      </c>
    </row>
    <row r="356" spans="1:11" x14ac:dyDescent="0.3">
      <c r="A356" t="s">
        <v>393</v>
      </c>
      <c r="B356" s="1">
        <v>45785</v>
      </c>
      <c r="C356" t="s">
        <v>26</v>
      </c>
      <c r="D356" t="s">
        <v>55</v>
      </c>
      <c r="E356" t="s">
        <v>44</v>
      </c>
      <c r="F356" t="s">
        <v>28</v>
      </c>
      <c r="G356" t="s">
        <v>24</v>
      </c>
      <c r="H356">
        <v>9</v>
      </c>
      <c r="I356">
        <v>0.2</v>
      </c>
      <c r="J356">
        <v>1701.69</v>
      </c>
      <c r="K356">
        <v>339.94</v>
      </c>
    </row>
    <row r="357" spans="1:11" x14ac:dyDescent="0.3">
      <c r="A357" t="s">
        <v>394</v>
      </c>
      <c r="B357" s="1">
        <v>45788</v>
      </c>
      <c r="C357" t="s">
        <v>26</v>
      </c>
      <c r="D357" t="s">
        <v>55</v>
      </c>
      <c r="E357" t="s">
        <v>14</v>
      </c>
      <c r="F357" t="s">
        <v>35</v>
      </c>
      <c r="G357" t="s">
        <v>32</v>
      </c>
      <c r="H357">
        <v>3</v>
      </c>
      <c r="I357">
        <v>0.05</v>
      </c>
      <c r="J357">
        <v>752.58</v>
      </c>
      <c r="K357">
        <v>47.27</v>
      </c>
    </row>
    <row r="358" spans="1:11" x14ac:dyDescent="0.3">
      <c r="A358" t="s">
        <v>395</v>
      </c>
      <c r="B358" s="1">
        <v>45788</v>
      </c>
      <c r="C358" t="s">
        <v>12</v>
      </c>
      <c r="D358" t="s">
        <v>46</v>
      </c>
      <c r="E358" t="s">
        <v>18</v>
      </c>
      <c r="F358" t="s">
        <v>28</v>
      </c>
      <c r="G358" t="s">
        <v>53</v>
      </c>
      <c r="H358">
        <v>9</v>
      </c>
      <c r="I358">
        <v>0.1</v>
      </c>
      <c r="J358">
        <v>903.44</v>
      </c>
      <c r="K358">
        <v>84.88</v>
      </c>
    </row>
    <row r="359" spans="1:11" x14ac:dyDescent="0.3">
      <c r="A359" t="s">
        <v>396</v>
      </c>
      <c r="B359" s="1">
        <v>45789</v>
      </c>
      <c r="C359" t="s">
        <v>30</v>
      </c>
      <c r="D359" t="s">
        <v>50</v>
      </c>
      <c r="E359" t="s">
        <v>14</v>
      </c>
      <c r="F359" t="s">
        <v>35</v>
      </c>
      <c r="G359" t="s">
        <v>24</v>
      </c>
      <c r="H359">
        <v>6</v>
      </c>
      <c r="I359">
        <v>0.3</v>
      </c>
      <c r="J359">
        <v>1052.94</v>
      </c>
      <c r="K359">
        <v>-57.01</v>
      </c>
    </row>
    <row r="360" spans="1:11" x14ac:dyDescent="0.3">
      <c r="A360" t="s">
        <v>397</v>
      </c>
      <c r="B360" s="1">
        <v>45789</v>
      </c>
      <c r="C360" t="s">
        <v>26</v>
      </c>
      <c r="D360" t="s">
        <v>55</v>
      </c>
      <c r="E360" t="s">
        <v>44</v>
      </c>
      <c r="F360" t="s">
        <v>15</v>
      </c>
      <c r="G360" t="s">
        <v>38</v>
      </c>
      <c r="H360">
        <v>3</v>
      </c>
      <c r="I360">
        <v>0.15</v>
      </c>
      <c r="J360">
        <v>144.38</v>
      </c>
      <c r="K360">
        <v>7.34</v>
      </c>
    </row>
    <row r="361" spans="1:11" x14ac:dyDescent="0.3">
      <c r="A361" t="s">
        <v>398</v>
      </c>
      <c r="B361" s="1">
        <v>45791</v>
      </c>
      <c r="C361" t="s">
        <v>30</v>
      </c>
      <c r="D361" t="s">
        <v>50</v>
      </c>
      <c r="E361" t="s">
        <v>18</v>
      </c>
      <c r="F361" t="s">
        <v>15</v>
      </c>
      <c r="G361" t="s">
        <v>47</v>
      </c>
      <c r="H361">
        <v>5</v>
      </c>
      <c r="I361">
        <v>0.15</v>
      </c>
      <c r="J361">
        <v>688.03</v>
      </c>
      <c r="K361">
        <v>-8.17</v>
      </c>
    </row>
    <row r="362" spans="1:11" x14ac:dyDescent="0.3">
      <c r="A362" t="s">
        <v>399</v>
      </c>
      <c r="B362" s="1">
        <v>45791</v>
      </c>
      <c r="C362" t="s">
        <v>26</v>
      </c>
      <c r="D362" t="s">
        <v>43</v>
      </c>
      <c r="E362" t="s">
        <v>44</v>
      </c>
      <c r="F362" t="s">
        <v>35</v>
      </c>
      <c r="G362" t="s">
        <v>53</v>
      </c>
      <c r="H362">
        <v>7</v>
      </c>
      <c r="I362">
        <v>0</v>
      </c>
      <c r="J362">
        <v>830.86</v>
      </c>
      <c r="K362">
        <v>89.8</v>
      </c>
    </row>
    <row r="363" spans="1:11" x14ac:dyDescent="0.3">
      <c r="A363" t="s">
        <v>400</v>
      </c>
      <c r="B363" s="1">
        <v>45792</v>
      </c>
      <c r="C363" t="s">
        <v>26</v>
      </c>
      <c r="D363" t="s">
        <v>55</v>
      </c>
      <c r="E363" t="s">
        <v>14</v>
      </c>
      <c r="F363" t="s">
        <v>15</v>
      </c>
      <c r="G363" t="s">
        <v>16</v>
      </c>
      <c r="H363">
        <v>7</v>
      </c>
      <c r="I363">
        <v>0.1</v>
      </c>
      <c r="J363">
        <v>790</v>
      </c>
      <c r="K363">
        <v>103.55</v>
      </c>
    </row>
    <row r="364" spans="1:11" x14ac:dyDescent="0.3">
      <c r="A364" t="s">
        <v>401</v>
      </c>
      <c r="B364" s="1">
        <v>45792</v>
      </c>
      <c r="C364" t="s">
        <v>26</v>
      </c>
      <c r="D364" t="s">
        <v>27</v>
      </c>
      <c r="E364" t="s">
        <v>44</v>
      </c>
      <c r="F364" t="s">
        <v>15</v>
      </c>
      <c r="G364" t="s">
        <v>19</v>
      </c>
      <c r="H364">
        <v>3</v>
      </c>
      <c r="I364">
        <v>0.2</v>
      </c>
      <c r="J364">
        <v>296.08999999999997</v>
      </c>
      <c r="K364">
        <v>49.43</v>
      </c>
    </row>
    <row r="365" spans="1:11" x14ac:dyDescent="0.3">
      <c r="A365" t="s">
        <v>402</v>
      </c>
      <c r="B365" s="1">
        <v>45793</v>
      </c>
      <c r="C365" t="s">
        <v>30</v>
      </c>
      <c r="D365" t="s">
        <v>31</v>
      </c>
      <c r="E365" t="s">
        <v>23</v>
      </c>
      <c r="F365" t="s">
        <v>15</v>
      </c>
      <c r="G365" t="s">
        <v>47</v>
      </c>
      <c r="H365">
        <v>3</v>
      </c>
      <c r="I365">
        <v>0.05</v>
      </c>
      <c r="J365">
        <v>877.44</v>
      </c>
      <c r="K365">
        <v>105.23</v>
      </c>
    </row>
    <row r="366" spans="1:11" x14ac:dyDescent="0.3">
      <c r="A366" t="s">
        <v>403</v>
      </c>
      <c r="B366" s="1">
        <v>45797</v>
      </c>
      <c r="C366" t="s">
        <v>30</v>
      </c>
      <c r="D366" t="s">
        <v>40</v>
      </c>
      <c r="E366" t="s">
        <v>14</v>
      </c>
      <c r="F366" t="s">
        <v>28</v>
      </c>
      <c r="G366" t="s">
        <v>68</v>
      </c>
      <c r="H366">
        <v>9</v>
      </c>
      <c r="I366">
        <v>0</v>
      </c>
      <c r="J366">
        <v>1834.17</v>
      </c>
      <c r="K366">
        <v>649.91999999999996</v>
      </c>
    </row>
    <row r="367" spans="1:11" x14ac:dyDescent="0.3">
      <c r="A367" t="s">
        <v>404</v>
      </c>
      <c r="B367" s="1">
        <v>45797</v>
      </c>
      <c r="C367" t="s">
        <v>30</v>
      </c>
      <c r="D367" t="s">
        <v>31</v>
      </c>
      <c r="E367" t="s">
        <v>23</v>
      </c>
      <c r="F367" t="s">
        <v>28</v>
      </c>
      <c r="G367" t="s">
        <v>68</v>
      </c>
      <c r="H367">
        <v>5</v>
      </c>
      <c r="I367">
        <v>0.05</v>
      </c>
      <c r="J367">
        <v>407.19</v>
      </c>
      <c r="K367">
        <v>46.73</v>
      </c>
    </row>
    <row r="368" spans="1:11" x14ac:dyDescent="0.3">
      <c r="A368" t="s">
        <v>405</v>
      </c>
      <c r="B368" s="1">
        <v>45798</v>
      </c>
      <c r="C368" t="s">
        <v>30</v>
      </c>
      <c r="D368" t="s">
        <v>50</v>
      </c>
      <c r="E368" t="s">
        <v>23</v>
      </c>
      <c r="F368" t="s">
        <v>28</v>
      </c>
      <c r="G368" t="s">
        <v>68</v>
      </c>
      <c r="H368">
        <v>4</v>
      </c>
      <c r="I368">
        <v>0.2</v>
      </c>
      <c r="J368">
        <v>527.57000000000005</v>
      </c>
      <c r="K368">
        <v>97.61</v>
      </c>
    </row>
    <row r="369" spans="1:11" x14ac:dyDescent="0.3">
      <c r="A369" t="s">
        <v>406</v>
      </c>
      <c r="B369" s="1">
        <v>45803</v>
      </c>
      <c r="C369" t="s">
        <v>26</v>
      </c>
      <c r="D369" t="s">
        <v>27</v>
      </c>
      <c r="E369" t="s">
        <v>18</v>
      </c>
      <c r="F369" t="s">
        <v>28</v>
      </c>
      <c r="G369" t="s">
        <v>32</v>
      </c>
      <c r="H369">
        <v>4</v>
      </c>
      <c r="I369">
        <v>0.2</v>
      </c>
      <c r="J369">
        <v>363.28</v>
      </c>
      <c r="K369">
        <v>14.35</v>
      </c>
    </row>
    <row r="370" spans="1:11" x14ac:dyDescent="0.3">
      <c r="A370" t="s">
        <v>407</v>
      </c>
      <c r="B370" s="1">
        <v>45805</v>
      </c>
      <c r="C370" t="s">
        <v>12</v>
      </c>
      <c r="D370" t="s">
        <v>21</v>
      </c>
      <c r="E370" t="s">
        <v>44</v>
      </c>
      <c r="F370" t="s">
        <v>28</v>
      </c>
      <c r="G370" t="s">
        <v>47</v>
      </c>
      <c r="H370">
        <v>1</v>
      </c>
      <c r="I370">
        <v>0.15</v>
      </c>
      <c r="J370">
        <v>118.12</v>
      </c>
      <c r="K370">
        <v>14.87</v>
      </c>
    </row>
    <row r="371" spans="1:11" x14ac:dyDescent="0.3">
      <c r="A371" t="s">
        <v>408</v>
      </c>
      <c r="B371" s="1">
        <v>45807</v>
      </c>
      <c r="C371" t="s">
        <v>30</v>
      </c>
      <c r="D371" t="s">
        <v>40</v>
      </c>
      <c r="E371" t="s">
        <v>14</v>
      </c>
      <c r="F371" t="s">
        <v>15</v>
      </c>
      <c r="G371" t="s">
        <v>24</v>
      </c>
      <c r="H371">
        <v>1</v>
      </c>
      <c r="I371">
        <v>0</v>
      </c>
      <c r="J371">
        <v>317.66000000000003</v>
      </c>
      <c r="K371">
        <v>15.53</v>
      </c>
    </row>
    <row r="372" spans="1:11" x14ac:dyDescent="0.3">
      <c r="A372" t="s">
        <v>409</v>
      </c>
      <c r="B372" s="1">
        <v>45808</v>
      </c>
      <c r="C372" t="s">
        <v>12</v>
      </c>
      <c r="D372" t="s">
        <v>13</v>
      </c>
      <c r="E372" t="s">
        <v>44</v>
      </c>
      <c r="F372" t="s">
        <v>15</v>
      </c>
      <c r="G372" t="s">
        <v>32</v>
      </c>
      <c r="H372">
        <v>2</v>
      </c>
      <c r="I372">
        <v>0.3</v>
      </c>
      <c r="J372">
        <v>130.97999999999999</v>
      </c>
      <c r="K372">
        <v>-10.220000000000001</v>
      </c>
    </row>
    <row r="373" spans="1:11" x14ac:dyDescent="0.3">
      <c r="A373" t="s">
        <v>410</v>
      </c>
      <c r="B373" s="1">
        <v>45810</v>
      </c>
      <c r="C373" t="s">
        <v>26</v>
      </c>
      <c r="D373" t="s">
        <v>55</v>
      </c>
      <c r="E373" t="s">
        <v>23</v>
      </c>
      <c r="F373" t="s">
        <v>28</v>
      </c>
      <c r="G373" t="s">
        <v>24</v>
      </c>
      <c r="H373">
        <v>8</v>
      </c>
      <c r="I373">
        <v>0</v>
      </c>
      <c r="J373">
        <v>1421.56</v>
      </c>
      <c r="K373">
        <v>132.63</v>
      </c>
    </row>
    <row r="374" spans="1:11" x14ac:dyDescent="0.3">
      <c r="A374" t="s">
        <v>411</v>
      </c>
      <c r="B374" s="1">
        <v>45812</v>
      </c>
      <c r="C374" t="s">
        <v>26</v>
      </c>
      <c r="D374" t="s">
        <v>55</v>
      </c>
      <c r="E374" t="s">
        <v>18</v>
      </c>
      <c r="F374" t="s">
        <v>28</v>
      </c>
      <c r="G374" t="s">
        <v>16</v>
      </c>
      <c r="H374">
        <v>5</v>
      </c>
      <c r="I374">
        <v>0.2</v>
      </c>
      <c r="J374">
        <v>884.4</v>
      </c>
      <c r="K374">
        <v>157.88999999999999</v>
      </c>
    </row>
    <row r="375" spans="1:11" x14ac:dyDescent="0.3">
      <c r="A375" t="s">
        <v>412</v>
      </c>
      <c r="B375" s="1">
        <v>45812</v>
      </c>
      <c r="C375" t="s">
        <v>26</v>
      </c>
      <c r="D375" t="s">
        <v>55</v>
      </c>
      <c r="E375" t="s">
        <v>23</v>
      </c>
      <c r="F375" t="s">
        <v>35</v>
      </c>
      <c r="G375" t="s">
        <v>16</v>
      </c>
      <c r="H375">
        <v>5</v>
      </c>
      <c r="I375">
        <v>0.05</v>
      </c>
      <c r="J375">
        <v>629.71</v>
      </c>
      <c r="K375">
        <v>120.79</v>
      </c>
    </row>
    <row r="376" spans="1:11" x14ac:dyDescent="0.3">
      <c r="A376" t="s">
        <v>413</v>
      </c>
      <c r="B376" s="1">
        <v>45812</v>
      </c>
      <c r="C376" t="s">
        <v>30</v>
      </c>
      <c r="D376" t="s">
        <v>40</v>
      </c>
      <c r="E376" t="s">
        <v>23</v>
      </c>
      <c r="F376" t="s">
        <v>15</v>
      </c>
      <c r="G376" t="s">
        <v>16</v>
      </c>
      <c r="H376">
        <v>3</v>
      </c>
      <c r="I376">
        <v>0</v>
      </c>
      <c r="J376">
        <v>716.35</v>
      </c>
      <c r="K376">
        <v>140.99</v>
      </c>
    </row>
    <row r="377" spans="1:11" x14ac:dyDescent="0.3">
      <c r="A377" t="s">
        <v>414</v>
      </c>
      <c r="B377" s="1">
        <v>45814</v>
      </c>
      <c r="C377" t="s">
        <v>12</v>
      </c>
      <c r="D377" t="s">
        <v>34</v>
      </c>
      <c r="E377" t="s">
        <v>18</v>
      </c>
      <c r="F377" t="s">
        <v>28</v>
      </c>
      <c r="G377" t="s">
        <v>16</v>
      </c>
      <c r="H377">
        <v>7</v>
      </c>
      <c r="I377">
        <v>0.05</v>
      </c>
      <c r="J377">
        <v>750.12</v>
      </c>
      <c r="K377">
        <v>93.85</v>
      </c>
    </row>
    <row r="378" spans="1:11" x14ac:dyDescent="0.3">
      <c r="A378" t="s">
        <v>415</v>
      </c>
      <c r="B378" s="1">
        <v>45815</v>
      </c>
      <c r="C378" t="s">
        <v>30</v>
      </c>
      <c r="D378" t="s">
        <v>50</v>
      </c>
      <c r="E378" t="s">
        <v>18</v>
      </c>
      <c r="F378" t="s">
        <v>35</v>
      </c>
      <c r="G378" t="s">
        <v>19</v>
      </c>
      <c r="H378">
        <v>1</v>
      </c>
      <c r="I378">
        <v>0.15</v>
      </c>
      <c r="J378">
        <v>238.87</v>
      </c>
      <c r="K378">
        <v>20.239999999999998</v>
      </c>
    </row>
    <row r="379" spans="1:11" x14ac:dyDescent="0.3">
      <c r="A379" t="s">
        <v>416</v>
      </c>
      <c r="B379" s="1">
        <v>45817</v>
      </c>
      <c r="C379" t="s">
        <v>12</v>
      </c>
      <c r="D379" t="s">
        <v>46</v>
      </c>
      <c r="E379" t="s">
        <v>44</v>
      </c>
      <c r="F379" t="s">
        <v>15</v>
      </c>
      <c r="G379" t="s">
        <v>19</v>
      </c>
      <c r="H379">
        <v>2</v>
      </c>
      <c r="I379">
        <v>0.05</v>
      </c>
      <c r="J379">
        <v>204.01</v>
      </c>
      <c r="K379">
        <v>31.44</v>
      </c>
    </row>
    <row r="380" spans="1:11" x14ac:dyDescent="0.3">
      <c r="A380" t="s">
        <v>417</v>
      </c>
      <c r="B380" s="1">
        <v>45817</v>
      </c>
      <c r="C380" t="s">
        <v>26</v>
      </c>
      <c r="D380" t="s">
        <v>55</v>
      </c>
      <c r="E380" t="s">
        <v>18</v>
      </c>
      <c r="F380" t="s">
        <v>28</v>
      </c>
      <c r="G380" t="s">
        <v>53</v>
      </c>
      <c r="H380">
        <v>3</v>
      </c>
      <c r="I380">
        <v>0.2</v>
      </c>
      <c r="J380">
        <v>404.3</v>
      </c>
      <c r="K380">
        <v>57.54</v>
      </c>
    </row>
    <row r="381" spans="1:11" x14ac:dyDescent="0.3">
      <c r="A381" t="s">
        <v>418</v>
      </c>
      <c r="B381" s="1">
        <v>45818</v>
      </c>
      <c r="C381" t="s">
        <v>12</v>
      </c>
      <c r="D381" t="s">
        <v>46</v>
      </c>
      <c r="E381" t="s">
        <v>18</v>
      </c>
      <c r="F381" t="s">
        <v>28</v>
      </c>
      <c r="G381" t="s">
        <v>16</v>
      </c>
      <c r="H381">
        <v>7</v>
      </c>
      <c r="I381">
        <v>0.15</v>
      </c>
      <c r="J381">
        <v>526.75</v>
      </c>
      <c r="K381">
        <v>16.010000000000002</v>
      </c>
    </row>
    <row r="382" spans="1:11" x14ac:dyDescent="0.3">
      <c r="A382" t="s">
        <v>419</v>
      </c>
      <c r="B382" s="1">
        <v>45820</v>
      </c>
      <c r="C382" t="s">
        <v>12</v>
      </c>
      <c r="D382" t="s">
        <v>13</v>
      </c>
      <c r="E382" t="s">
        <v>44</v>
      </c>
      <c r="F382" t="s">
        <v>35</v>
      </c>
      <c r="G382" t="s">
        <v>19</v>
      </c>
      <c r="H382">
        <v>5</v>
      </c>
      <c r="I382">
        <v>0.15</v>
      </c>
      <c r="J382">
        <v>42.5</v>
      </c>
      <c r="K382">
        <v>-4.3600000000000003</v>
      </c>
    </row>
    <row r="383" spans="1:11" x14ac:dyDescent="0.3">
      <c r="A383" t="s">
        <v>420</v>
      </c>
      <c r="B383" s="1">
        <v>45823</v>
      </c>
      <c r="C383" t="s">
        <v>30</v>
      </c>
      <c r="D383" t="s">
        <v>31</v>
      </c>
      <c r="E383" t="s">
        <v>14</v>
      </c>
      <c r="F383" t="s">
        <v>28</v>
      </c>
      <c r="G383" t="s">
        <v>16</v>
      </c>
      <c r="H383">
        <v>6</v>
      </c>
      <c r="I383">
        <v>0</v>
      </c>
      <c r="J383">
        <v>699.68</v>
      </c>
      <c r="K383">
        <v>0.28000000000000003</v>
      </c>
    </row>
    <row r="384" spans="1:11" x14ac:dyDescent="0.3">
      <c r="A384" t="s">
        <v>421</v>
      </c>
      <c r="B384" s="1">
        <v>45828</v>
      </c>
      <c r="C384" t="s">
        <v>12</v>
      </c>
      <c r="D384" t="s">
        <v>21</v>
      </c>
      <c r="E384" t="s">
        <v>18</v>
      </c>
      <c r="F384" t="s">
        <v>15</v>
      </c>
      <c r="G384" t="s">
        <v>47</v>
      </c>
      <c r="H384">
        <v>3</v>
      </c>
      <c r="I384">
        <v>0.15</v>
      </c>
      <c r="J384">
        <v>179.34</v>
      </c>
      <c r="K384">
        <v>23.66</v>
      </c>
    </row>
    <row r="385" spans="1:11" x14ac:dyDescent="0.3">
      <c r="A385" t="s">
        <v>422</v>
      </c>
      <c r="B385" s="1">
        <v>45828</v>
      </c>
      <c r="C385" t="s">
        <v>26</v>
      </c>
      <c r="D385" t="s">
        <v>43</v>
      </c>
      <c r="E385" t="s">
        <v>44</v>
      </c>
      <c r="F385" t="s">
        <v>15</v>
      </c>
      <c r="G385" t="s">
        <v>24</v>
      </c>
      <c r="H385">
        <v>8</v>
      </c>
      <c r="I385">
        <v>0.2</v>
      </c>
      <c r="J385">
        <v>1335.06</v>
      </c>
      <c r="K385">
        <v>329.11</v>
      </c>
    </row>
    <row r="386" spans="1:11" x14ac:dyDescent="0.3">
      <c r="A386" t="s">
        <v>423</v>
      </c>
      <c r="B386" s="1">
        <v>45828</v>
      </c>
      <c r="C386" t="s">
        <v>30</v>
      </c>
      <c r="D386" t="s">
        <v>31</v>
      </c>
      <c r="E386" t="s">
        <v>18</v>
      </c>
      <c r="F386" t="s">
        <v>28</v>
      </c>
      <c r="G386" t="s">
        <v>19</v>
      </c>
      <c r="H386">
        <v>4</v>
      </c>
      <c r="I386">
        <v>0.2</v>
      </c>
      <c r="J386">
        <v>1250.3499999999999</v>
      </c>
      <c r="K386">
        <v>229.25</v>
      </c>
    </row>
    <row r="387" spans="1:11" x14ac:dyDescent="0.3">
      <c r="A387" t="s">
        <v>424</v>
      </c>
      <c r="B387" s="1">
        <v>45829</v>
      </c>
      <c r="C387" t="s">
        <v>12</v>
      </c>
      <c r="D387" t="s">
        <v>46</v>
      </c>
      <c r="E387" t="s">
        <v>23</v>
      </c>
      <c r="F387" t="s">
        <v>15</v>
      </c>
      <c r="G387" t="s">
        <v>53</v>
      </c>
      <c r="H387">
        <v>3</v>
      </c>
      <c r="I387">
        <v>0.1</v>
      </c>
      <c r="J387">
        <v>27</v>
      </c>
      <c r="K387">
        <v>3.86</v>
      </c>
    </row>
    <row r="388" spans="1:11" x14ac:dyDescent="0.3">
      <c r="A388" t="s">
        <v>425</v>
      </c>
      <c r="B388" s="1">
        <v>45832</v>
      </c>
      <c r="C388" t="s">
        <v>30</v>
      </c>
      <c r="D388" t="s">
        <v>31</v>
      </c>
      <c r="E388" t="s">
        <v>23</v>
      </c>
      <c r="F388" t="s">
        <v>35</v>
      </c>
      <c r="G388" t="s">
        <v>19</v>
      </c>
      <c r="H388">
        <v>9</v>
      </c>
      <c r="I388">
        <v>0.1</v>
      </c>
      <c r="J388">
        <v>2488.87</v>
      </c>
      <c r="K388">
        <v>549.09</v>
      </c>
    </row>
    <row r="389" spans="1:11" x14ac:dyDescent="0.3">
      <c r="A389" t="s">
        <v>426</v>
      </c>
      <c r="B389" s="1">
        <v>45837</v>
      </c>
      <c r="C389" t="s">
        <v>26</v>
      </c>
      <c r="D389" t="s">
        <v>27</v>
      </c>
      <c r="E389" t="s">
        <v>14</v>
      </c>
      <c r="F389" t="s">
        <v>28</v>
      </c>
      <c r="G389" t="s">
        <v>47</v>
      </c>
      <c r="H389">
        <v>1</v>
      </c>
      <c r="I389">
        <v>0.3</v>
      </c>
      <c r="J389">
        <v>177.25</v>
      </c>
      <c r="K389">
        <v>10.61</v>
      </c>
    </row>
    <row r="390" spans="1:11" x14ac:dyDescent="0.3">
      <c r="A390" t="s">
        <v>427</v>
      </c>
      <c r="B390" s="1">
        <v>45839</v>
      </c>
      <c r="C390" t="s">
        <v>30</v>
      </c>
      <c r="D390" t="s">
        <v>31</v>
      </c>
      <c r="E390" t="s">
        <v>23</v>
      </c>
      <c r="F390" t="s">
        <v>28</v>
      </c>
      <c r="G390" t="s">
        <v>19</v>
      </c>
      <c r="H390">
        <v>3</v>
      </c>
      <c r="I390">
        <v>0.2</v>
      </c>
      <c r="J390">
        <v>906.41</v>
      </c>
      <c r="K390">
        <v>145.5</v>
      </c>
    </row>
    <row r="391" spans="1:11" x14ac:dyDescent="0.3">
      <c r="A391" t="s">
        <v>428</v>
      </c>
      <c r="B391" s="1">
        <v>45839</v>
      </c>
      <c r="C391" t="s">
        <v>12</v>
      </c>
      <c r="D391" t="s">
        <v>21</v>
      </c>
      <c r="E391" t="s">
        <v>23</v>
      </c>
      <c r="F391" t="s">
        <v>28</v>
      </c>
      <c r="G391" t="s">
        <v>32</v>
      </c>
      <c r="H391">
        <v>4</v>
      </c>
      <c r="I391">
        <v>0.15</v>
      </c>
      <c r="J391">
        <v>102.29</v>
      </c>
      <c r="K391">
        <v>4.79</v>
      </c>
    </row>
    <row r="392" spans="1:11" x14ac:dyDescent="0.3">
      <c r="A392" t="s">
        <v>429</v>
      </c>
      <c r="B392" s="1">
        <v>45843</v>
      </c>
      <c r="C392" t="s">
        <v>26</v>
      </c>
      <c r="D392" t="s">
        <v>55</v>
      </c>
      <c r="E392" t="s">
        <v>18</v>
      </c>
      <c r="F392" t="s">
        <v>35</v>
      </c>
      <c r="G392" t="s">
        <v>53</v>
      </c>
      <c r="H392">
        <v>3</v>
      </c>
      <c r="I392">
        <v>0.1</v>
      </c>
      <c r="J392">
        <v>251.94</v>
      </c>
      <c r="K392">
        <v>36.06</v>
      </c>
    </row>
    <row r="393" spans="1:11" x14ac:dyDescent="0.3">
      <c r="A393" t="s">
        <v>430</v>
      </c>
      <c r="B393" s="1">
        <v>45849</v>
      </c>
      <c r="C393" t="s">
        <v>26</v>
      </c>
      <c r="D393" t="s">
        <v>43</v>
      </c>
      <c r="E393" t="s">
        <v>44</v>
      </c>
      <c r="F393" t="s">
        <v>35</v>
      </c>
      <c r="G393" t="s">
        <v>16</v>
      </c>
      <c r="H393">
        <v>8</v>
      </c>
      <c r="I393">
        <v>0</v>
      </c>
      <c r="J393">
        <v>2061.19</v>
      </c>
      <c r="K393">
        <v>260.56</v>
      </c>
    </row>
    <row r="394" spans="1:11" x14ac:dyDescent="0.3">
      <c r="A394" t="s">
        <v>431</v>
      </c>
      <c r="B394" s="1">
        <v>45852</v>
      </c>
      <c r="C394" t="s">
        <v>30</v>
      </c>
      <c r="D394" t="s">
        <v>31</v>
      </c>
      <c r="E394" t="s">
        <v>23</v>
      </c>
      <c r="F394" t="s">
        <v>35</v>
      </c>
      <c r="G394" t="s">
        <v>47</v>
      </c>
      <c r="H394">
        <v>6</v>
      </c>
      <c r="I394">
        <v>0.1</v>
      </c>
      <c r="J394">
        <v>1672.27</v>
      </c>
      <c r="K394">
        <v>431.3</v>
      </c>
    </row>
    <row r="395" spans="1:11" x14ac:dyDescent="0.3">
      <c r="A395" t="s">
        <v>432</v>
      </c>
      <c r="B395" s="1">
        <v>45855</v>
      </c>
      <c r="C395" t="s">
        <v>30</v>
      </c>
      <c r="D395" t="s">
        <v>31</v>
      </c>
      <c r="E395" t="s">
        <v>14</v>
      </c>
      <c r="F395" t="s">
        <v>35</v>
      </c>
      <c r="G395" t="s">
        <v>38</v>
      </c>
      <c r="H395">
        <v>2</v>
      </c>
      <c r="I395">
        <v>0.1</v>
      </c>
      <c r="J395">
        <v>543.24</v>
      </c>
      <c r="K395">
        <v>69.8</v>
      </c>
    </row>
    <row r="396" spans="1:11" x14ac:dyDescent="0.3">
      <c r="A396" t="s">
        <v>433</v>
      </c>
      <c r="B396" s="1">
        <v>45858</v>
      </c>
      <c r="C396" t="s">
        <v>12</v>
      </c>
      <c r="D396" t="s">
        <v>34</v>
      </c>
      <c r="E396" t="s">
        <v>23</v>
      </c>
      <c r="F396" t="s">
        <v>15</v>
      </c>
      <c r="G396" t="s">
        <v>16</v>
      </c>
      <c r="H396">
        <v>9</v>
      </c>
      <c r="I396">
        <v>0.3</v>
      </c>
      <c r="J396">
        <v>760.96</v>
      </c>
      <c r="K396">
        <v>-10.74</v>
      </c>
    </row>
    <row r="397" spans="1:11" x14ac:dyDescent="0.3">
      <c r="A397" t="s">
        <v>434</v>
      </c>
      <c r="B397" s="1">
        <v>45859</v>
      </c>
      <c r="C397" t="s">
        <v>26</v>
      </c>
      <c r="D397" t="s">
        <v>55</v>
      </c>
      <c r="E397" t="s">
        <v>14</v>
      </c>
      <c r="F397" t="s">
        <v>15</v>
      </c>
      <c r="G397" t="s">
        <v>38</v>
      </c>
      <c r="H397">
        <v>8</v>
      </c>
      <c r="I397">
        <v>0.1</v>
      </c>
      <c r="J397">
        <v>1314.93</v>
      </c>
      <c r="K397">
        <v>230.9</v>
      </c>
    </row>
    <row r="398" spans="1:11" x14ac:dyDescent="0.3">
      <c r="A398" t="s">
        <v>435</v>
      </c>
      <c r="B398" s="1">
        <v>45860</v>
      </c>
      <c r="C398" t="s">
        <v>30</v>
      </c>
      <c r="D398" t="s">
        <v>31</v>
      </c>
      <c r="E398" t="s">
        <v>14</v>
      </c>
      <c r="F398" t="s">
        <v>15</v>
      </c>
      <c r="G398" t="s">
        <v>53</v>
      </c>
      <c r="H398">
        <v>5</v>
      </c>
      <c r="I398">
        <v>0.05</v>
      </c>
      <c r="J398">
        <v>1410.82</v>
      </c>
      <c r="K398">
        <v>29.76</v>
      </c>
    </row>
    <row r="399" spans="1:11" x14ac:dyDescent="0.3">
      <c r="A399" t="s">
        <v>436</v>
      </c>
      <c r="B399" s="1">
        <v>45862</v>
      </c>
      <c r="C399" t="s">
        <v>26</v>
      </c>
      <c r="D399" t="s">
        <v>27</v>
      </c>
      <c r="E399" t="s">
        <v>23</v>
      </c>
      <c r="F399" t="s">
        <v>35</v>
      </c>
      <c r="G399" t="s">
        <v>53</v>
      </c>
      <c r="H399">
        <v>2</v>
      </c>
      <c r="I399">
        <v>0.2</v>
      </c>
      <c r="J399">
        <v>378.22</v>
      </c>
      <c r="K399">
        <v>82.7</v>
      </c>
    </row>
    <row r="400" spans="1:11" x14ac:dyDescent="0.3">
      <c r="A400" t="s">
        <v>437</v>
      </c>
      <c r="B400" s="1">
        <v>45862</v>
      </c>
      <c r="C400" t="s">
        <v>12</v>
      </c>
      <c r="D400" t="s">
        <v>21</v>
      </c>
      <c r="E400" t="s">
        <v>23</v>
      </c>
      <c r="F400" t="s">
        <v>35</v>
      </c>
      <c r="G400" t="s">
        <v>32</v>
      </c>
      <c r="H400">
        <v>4</v>
      </c>
      <c r="I400">
        <v>0.2</v>
      </c>
      <c r="J400">
        <v>259.93</v>
      </c>
      <c r="K400">
        <v>18.190000000000001</v>
      </c>
    </row>
    <row r="401" spans="1:11" x14ac:dyDescent="0.3">
      <c r="A401" t="s">
        <v>438</v>
      </c>
      <c r="B401" s="1">
        <v>45864</v>
      </c>
      <c r="C401" t="s">
        <v>30</v>
      </c>
      <c r="D401" t="s">
        <v>31</v>
      </c>
      <c r="E401" t="s">
        <v>14</v>
      </c>
      <c r="F401" t="s">
        <v>15</v>
      </c>
      <c r="G401" t="s">
        <v>68</v>
      </c>
      <c r="H401">
        <v>9</v>
      </c>
      <c r="I401">
        <v>0.1</v>
      </c>
      <c r="J401">
        <v>979.57</v>
      </c>
      <c r="K401">
        <v>123.94</v>
      </c>
    </row>
    <row r="402" spans="1:11" x14ac:dyDescent="0.3">
      <c r="A402" t="s">
        <v>439</v>
      </c>
      <c r="B402" s="1">
        <v>45866</v>
      </c>
      <c r="C402" t="s">
        <v>12</v>
      </c>
      <c r="D402" t="s">
        <v>34</v>
      </c>
      <c r="E402" t="s">
        <v>14</v>
      </c>
      <c r="F402" t="s">
        <v>35</v>
      </c>
      <c r="G402" t="s">
        <v>38</v>
      </c>
      <c r="H402">
        <v>4</v>
      </c>
      <c r="I402">
        <v>0</v>
      </c>
      <c r="J402">
        <v>318.52</v>
      </c>
      <c r="K402">
        <v>104.84</v>
      </c>
    </row>
    <row r="403" spans="1:11" x14ac:dyDescent="0.3">
      <c r="A403" t="s">
        <v>440</v>
      </c>
      <c r="B403" s="1">
        <v>45866</v>
      </c>
      <c r="C403" t="s">
        <v>12</v>
      </c>
      <c r="D403" t="s">
        <v>46</v>
      </c>
      <c r="E403" t="s">
        <v>18</v>
      </c>
      <c r="F403" t="s">
        <v>28</v>
      </c>
      <c r="G403" t="s">
        <v>47</v>
      </c>
      <c r="H403">
        <v>6</v>
      </c>
      <c r="I403">
        <v>0.15</v>
      </c>
      <c r="J403">
        <v>342.35</v>
      </c>
      <c r="K403">
        <v>91.23</v>
      </c>
    </row>
    <row r="404" spans="1:11" x14ac:dyDescent="0.3">
      <c r="A404" t="s">
        <v>441</v>
      </c>
      <c r="B404" s="1">
        <v>45867</v>
      </c>
      <c r="C404" t="s">
        <v>26</v>
      </c>
      <c r="D404" t="s">
        <v>55</v>
      </c>
      <c r="E404" t="s">
        <v>23</v>
      </c>
      <c r="F404" t="s">
        <v>35</v>
      </c>
      <c r="G404" t="s">
        <v>19</v>
      </c>
      <c r="H404">
        <v>7</v>
      </c>
      <c r="I404">
        <v>0.05</v>
      </c>
      <c r="J404">
        <v>606.22</v>
      </c>
      <c r="K404">
        <v>13.4</v>
      </c>
    </row>
    <row r="405" spans="1:11" x14ac:dyDescent="0.3">
      <c r="A405" t="s">
        <v>442</v>
      </c>
      <c r="B405" s="1">
        <v>45868</v>
      </c>
      <c r="C405" t="s">
        <v>30</v>
      </c>
      <c r="D405" t="s">
        <v>50</v>
      </c>
      <c r="E405" t="s">
        <v>23</v>
      </c>
      <c r="F405" t="s">
        <v>15</v>
      </c>
      <c r="G405" t="s">
        <v>16</v>
      </c>
      <c r="H405">
        <v>9</v>
      </c>
      <c r="I405">
        <v>0.3</v>
      </c>
      <c r="J405">
        <v>1126.83</v>
      </c>
      <c r="K405">
        <v>70.98</v>
      </c>
    </row>
    <row r="406" spans="1:11" x14ac:dyDescent="0.3">
      <c r="A406" t="s">
        <v>443</v>
      </c>
      <c r="B406" s="1">
        <v>45870</v>
      </c>
      <c r="C406" t="s">
        <v>26</v>
      </c>
      <c r="D406" t="s">
        <v>27</v>
      </c>
      <c r="E406" t="s">
        <v>18</v>
      </c>
      <c r="F406" t="s">
        <v>28</v>
      </c>
      <c r="G406" t="s">
        <v>32</v>
      </c>
      <c r="H406">
        <v>7</v>
      </c>
      <c r="I406">
        <v>0.05</v>
      </c>
      <c r="J406">
        <v>825.83</v>
      </c>
      <c r="K406">
        <v>191.8</v>
      </c>
    </row>
    <row r="407" spans="1:11" x14ac:dyDescent="0.3">
      <c r="A407" t="s">
        <v>444</v>
      </c>
      <c r="B407" s="1">
        <v>45871</v>
      </c>
      <c r="C407" t="s">
        <v>26</v>
      </c>
      <c r="D407" t="s">
        <v>27</v>
      </c>
      <c r="E407" t="s">
        <v>44</v>
      </c>
      <c r="F407" t="s">
        <v>28</v>
      </c>
      <c r="G407" t="s">
        <v>19</v>
      </c>
      <c r="H407">
        <v>9</v>
      </c>
      <c r="I407">
        <v>0.2</v>
      </c>
      <c r="J407">
        <v>1908.88</v>
      </c>
      <c r="K407">
        <v>-20.61</v>
      </c>
    </row>
    <row r="408" spans="1:11" x14ac:dyDescent="0.3">
      <c r="A408" t="s">
        <v>445</v>
      </c>
      <c r="B408" s="1">
        <v>45875</v>
      </c>
      <c r="C408" t="s">
        <v>12</v>
      </c>
      <c r="D408" t="s">
        <v>46</v>
      </c>
      <c r="E408" t="s">
        <v>14</v>
      </c>
      <c r="F408" t="s">
        <v>28</v>
      </c>
      <c r="G408" t="s">
        <v>68</v>
      </c>
      <c r="H408">
        <v>4</v>
      </c>
      <c r="I408">
        <v>0</v>
      </c>
      <c r="J408">
        <v>387.48</v>
      </c>
      <c r="K408">
        <v>50.63</v>
      </c>
    </row>
    <row r="409" spans="1:11" x14ac:dyDescent="0.3">
      <c r="A409" t="s">
        <v>446</v>
      </c>
      <c r="B409" s="1">
        <v>45876</v>
      </c>
      <c r="C409" t="s">
        <v>12</v>
      </c>
      <c r="D409" t="s">
        <v>13</v>
      </c>
      <c r="E409" t="s">
        <v>14</v>
      </c>
      <c r="F409" t="s">
        <v>35</v>
      </c>
      <c r="G409" t="s">
        <v>32</v>
      </c>
      <c r="H409">
        <v>3</v>
      </c>
      <c r="I409">
        <v>0.1</v>
      </c>
      <c r="J409">
        <v>177.64</v>
      </c>
      <c r="K409">
        <v>6.67</v>
      </c>
    </row>
    <row r="410" spans="1:11" x14ac:dyDescent="0.3">
      <c r="A410" t="s">
        <v>447</v>
      </c>
      <c r="B410" s="1">
        <v>45879</v>
      </c>
      <c r="C410" t="s">
        <v>12</v>
      </c>
      <c r="D410" t="s">
        <v>34</v>
      </c>
      <c r="E410" t="s">
        <v>23</v>
      </c>
      <c r="F410" t="s">
        <v>35</v>
      </c>
      <c r="G410" t="s">
        <v>24</v>
      </c>
      <c r="H410">
        <v>7</v>
      </c>
      <c r="I410">
        <v>0.2</v>
      </c>
      <c r="J410">
        <v>454.66</v>
      </c>
      <c r="K410">
        <v>47.26</v>
      </c>
    </row>
    <row r="411" spans="1:11" x14ac:dyDescent="0.3">
      <c r="A411" t="s">
        <v>448</v>
      </c>
      <c r="B411" s="1">
        <v>45881</v>
      </c>
      <c r="C411" t="s">
        <v>12</v>
      </c>
      <c r="D411" t="s">
        <v>21</v>
      </c>
      <c r="E411" t="s">
        <v>18</v>
      </c>
      <c r="F411" t="s">
        <v>35</v>
      </c>
      <c r="G411" t="s">
        <v>24</v>
      </c>
      <c r="H411">
        <v>8</v>
      </c>
      <c r="I411">
        <v>0</v>
      </c>
      <c r="J411">
        <v>359.98</v>
      </c>
      <c r="K411">
        <v>62.46</v>
      </c>
    </row>
    <row r="412" spans="1:11" x14ac:dyDescent="0.3">
      <c r="A412" t="s">
        <v>449</v>
      </c>
      <c r="B412" s="1">
        <v>45883</v>
      </c>
      <c r="C412" t="s">
        <v>12</v>
      </c>
      <c r="D412" t="s">
        <v>46</v>
      </c>
      <c r="E412" t="s">
        <v>44</v>
      </c>
      <c r="F412" t="s">
        <v>35</v>
      </c>
      <c r="G412" t="s">
        <v>16</v>
      </c>
      <c r="H412">
        <v>4</v>
      </c>
      <c r="I412">
        <v>0.1</v>
      </c>
      <c r="J412">
        <v>382.49</v>
      </c>
      <c r="K412">
        <v>41.1</v>
      </c>
    </row>
    <row r="413" spans="1:11" x14ac:dyDescent="0.3">
      <c r="A413" t="s">
        <v>450</v>
      </c>
      <c r="B413" s="1">
        <v>45884</v>
      </c>
      <c r="C413" t="s">
        <v>12</v>
      </c>
      <c r="D413" t="s">
        <v>46</v>
      </c>
      <c r="E413" t="s">
        <v>18</v>
      </c>
      <c r="F413" t="s">
        <v>35</v>
      </c>
      <c r="G413" t="s">
        <v>32</v>
      </c>
      <c r="H413">
        <v>4</v>
      </c>
      <c r="I413">
        <v>0</v>
      </c>
      <c r="J413">
        <v>127.5</v>
      </c>
      <c r="K413">
        <v>28.96</v>
      </c>
    </row>
    <row r="414" spans="1:11" x14ac:dyDescent="0.3">
      <c r="A414" t="s">
        <v>451</v>
      </c>
      <c r="B414" s="1">
        <v>45884</v>
      </c>
      <c r="C414" t="s">
        <v>12</v>
      </c>
      <c r="D414" t="s">
        <v>13</v>
      </c>
      <c r="E414" t="s">
        <v>44</v>
      </c>
      <c r="F414" t="s">
        <v>28</v>
      </c>
      <c r="G414" t="s">
        <v>38</v>
      </c>
      <c r="H414">
        <v>4</v>
      </c>
      <c r="I414">
        <v>0.05</v>
      </c>
      <c r="J414">
        <v>235.13</v>
      </c>
      <c r="K414">
        <v>49.94</v>
      </c>
    </row>
    <row r="415" spans="1:11" x14ac:dyDescent="0.3">
      <c r="A415" t="s">
        <v>452</v>
      </c>
      <c r="B415" s="1">
        <v>45885</v>
      </c>
      <c r="C415" t="s">
        <v>30</v>
      </c>
      <c r="D415" t="s">
        <v>40</v>
      </c>
      <c r="E415" t="s">
        <v>14</v>
      </c>
      <c r="F415" t="s">
        <v>28</v>
      </c>
      <c r="G415" t="s">
        <v>16</v>
      </c>
      <c r="H415">
        <v>4</v>
      </c>
      <c r="I415">
        <v>0.15</v>
      </c>
      <c r="J415">
        <v>894.93</v>
      </c>
      <c r="K415">
        <v>82.14</v>
      </c>
    </row>
    <row r="416" spans="1:11" x14ac:dyDescent="0.3">
      <c r="A416" t="s">
        <v>453</v>
      </c>
      <c r="B416" s="1">
        <v>45890</v>
      </c>
      <c r="C416" t="s">
        <v>30</v>
      </c>
      <c r="D416" t="s">
        <v>31</v>
      </c>
      <c r="E416" t="s">
        <v>44</v>
      </c>
      <c r="F416" t="s">
        <v>28</v>
      </c>
      <c r="G416" t="s">
        <v>68</v>
      </c>
      <c r="H416">
        <v>6</v>
      </c>
      <c r="I416">
        <v>0.1</v>
      </c>
      <c r="J416">
        <v>875.66</v>
      </c>
      <c r="K416">
        <v>50.87</v>
      </c>
    </row>
    <row r="417" spans="1:11" x14ac:dyDescent="0.3">
      <c r="A417" t="s">
        <v>454</v>
      </c>
      <c r="B417" s="1">
        <v>45893</v>
      </c>
      <c r="C417" t="s">
        <v>12</v>
      </c>
      <c r="D417" t="s">
        <v>21</v>
      </c>
      <c r="E417" t="s">
        <v>44</v>
      </c>
      <c r="F417" t="s">
        <v>28</v>
      </c>
      <c r="G417" t="s">
        <v>47</v>
      </c>
      <c r="H417">
        <v>9</v>
      </c>
      <c r="I417">
        <v>0.05</v>
      </c>
      <c r="J417">
        <v>573.12</v>
      </c>
      <c r="K417">
        <v>89.33</v>
      </c>
    </row>
    <row r="418" spans="1:11" x14ac:dyDescent="0.3">
      <c r="A418" t="s">
        <v>455</v>
      </c>
      <c r="B418" s="1">
        <v>45893</v>
      </c>
      <c r="C418" t="s">
        <v>26</v>
      </c>
      <c r="D418" t="s">
        <v>43</v>
      </c>
      <c r="E418" t="s">
        <v>44</v>
      </c>
      <c r="F418" t="s">
        <v>35</v>
      </c>
      <c r="G418" t="s">
        <v>47</v>
      </c>
      <c r="H418">
        <v>4</v>
      </c>
      <c r="I418">
        <v>0.1</v>
      </c>
      <c r="J418">
        <v>718.69</v>
      </c>
      <c r="K418">
        <v>152.55000000000001</v>
      </c>
    </row>
    <row r="419" spans="1:11" x14ac:dyDescent="0.3">
      <c r="A419" t="s">
        <v>456</v>
      </c>
      <c r="B419" s="1">
        <v>45895</v>
      </c>
      <c r="C419" t="s">
        <v>26</v>
      </c>
      <c r="D419" t="s">
        <v>43</v>
      </c>
      <c r="E419" t="s">
        <v>18</v>
      </c>
      <c r="F419" t="s">
        <v>15</v>
      </c>
      <c r="G419" t="s">
        <v>38</v>
      </c>
      <c r="H419">
        <v>9</v>
      </c>
      <c r="I419">
        <v>0</v>
      </c>
      <c r="J419">
        <v>2057.1799999999998</v>
      </c>
      <c r="K419">
        <v>306.22000000000003</v>
      </c>
    </row>
    <row r="420" spans="1:11" x14ac:dyDescent="0.3">
      <c r="A420" t="s">
        <v>457</v>
      </c>
      <c r="B420" s="1">
        <v>45895</v>
      </c>
      <c r="C420" t="s">
        <v>26</v>
      </c>
      <c r="D420" t="s">
        <v>43</v>
      </c>
      <c r="E420" t="s">
        <v>18</v>
      </c>
      <c r="F420" t="s">
        <v>28</v>
      </c>
      <c r="G420" t="s">
        <v>38</v>
      </c>
      <c r="H420">
        <v>6</v>
      </c>
      <c r="I420">
        <v>0</v>
      </c>
      <c r="J420">
        <v>559.6</v>
      </c>
      <c r="K420">
        <v>33.270000000000003</v>
      </c>
    </row>
    <row r="421" spans="1:11" x14ac:dyDescent="0.3">
      <c r="A421" t="s">
        <v>458</v>
      </c>
      <c r="B421" s="1">
        <v>45899</v>
      </c>
      <c r="C421" t="s">
        <v>30</v>
      </c>
      <c r="D421" t="s">
        <v>40</v>
      </c>
      <c r="E421" t="s">
        <v>23</v>
      </c>
      <c r="F421" t="s">
        <v>15</v>
      </c>
      <c r="G421" t="s">
        <v>19</v>
      </c>
      <c r="H421">
        <v>4</v>
      </c>
      <c r="I421">
        <v>0.1</v>
      </c>
      <c r="J421">
        <v>345.42</v>
      </c>
      <c r="K421">
        <v>19.46</v>
      </c>
    </row>
    <row r="422" spans="1:11" x14ac:dyDescent="0.3">
      <c r="A422" t="s">
        <v>459</v>
      </c>
      <c r="B422" s="1">
        <v>45900</v>
      </c>
      <c r="C422" t="s">
        <v>30</v>
      </c>
      <c r="D422" t="s">
        <v>40</v>
      </c>
      <c r="E422" t="s">
        <v>44</v>
      </c>
      <c r="F422" t="s">
        <v>15</v>
      </c>
      <c r="G422" t="s">
        <v>68</v>
      </c>
      <c r="H422">
        <v>7</v>
      </c>
      <c r="I422">
        <v>0</v>
      </c>
      <c r="J422">
        <v>3003.06</v>
      </c>
      <c r="K422">
        <v>280.13</v>
      </c>
    </row>
    <row r="423" spans="1:11" x14ac:dyDescent="0.3">
      <c r="A423" t="s">
        <v>460</v>
      </c>
      <c r="B423" s="1">
        <v>45901</v>
      </c>
      <c r="C423" t="s">
        <v>26</v>
      </c>
      <c r="D423" t="s">
        <v>27</v>
      </c>
      <c r="E423" t="s">
        <v>44</v>
      </c>
      <c r="F423" t="s">
        <v>15</v>
      </c>
      <c r="G423" t="s">
        <v>38</v>
      </c>
      <c r="H423">
        <v>3</v>
      </c>
      <c r="I423">
        <v>0</v>
      </c>
      <c r="J423">
        <v>606.79999999999995</v>
      </c>
      <c r="K423">
        <v>81.42</v>
      </c>
    </row>
    <row r="424" spans="1:11" x14ac:dyDescent="0.3">
      <c r="A424" t="s">
        <v>461</v>
      </c>
      <c r="B424" s="1">
        <v>45901</v>
      </c>
      <c r="C424" t="s">
        <v>12</v>
      </c>
      <c r="D424" t="s">
        <v>13</v>
      </c>
      <c r="E424" t="s">
        <v>14</v>
      </c>
      <c r="F424" t="s">
        <v>28</v>
      </c>
      <c r="G424" t="s">
        <v>47</v>
      </c>
      <c r="H424">
        <v>1</v>
      </c>
      <c r="I424">
        <v>0.05</v>
      </c>
      <c r="J424">
        <v>39.880000000000003</v>
      </c>
      <c r="K424">
        <v>4.8099999999999996</v>
      </c>
    </row>
    <row r="425" spans="1:11" x14ac:dyDescent="0.3">
      <c r="A425" t="s">
        <v>462</v>
      </c>
      <c r="B425" s="1">
        <v>45901</v>
      </c>
      <c r="C425" t="s">
        <v>30</v>
      </c>
      <c r="D425" t="s">
        <v>40</v>
      </c>
      <c r="E425" t="s">
        <v>14</v>
      </c>
      <c r="F425" t="s">
        <v>35</v>
      </c>
      <c r="G425" t="s">
        <v>32</v>
      </c>
      <c r="H425">
        <v>6</v>
      </c>
      <c r="I425">
        <v>0.15</v>
      </c>
      <c r="J425">
        <v>1898.25</v>
      </c>
      <c r="K425">
        <v>232.68</v>
      </c>
    </row>
    <row r="426" spans="1:11" x14ac:dyDescent="0.3">
      <c r="A426" t="s">
        <v>463</v>
      </c>
      <c r="B426" s="1">
        <v>45904</v>
      </c>
      <c r="C426" t="s">
        <v>30</v>
      </c>
      <c r="D426" t="s">
        <v>40</v>
      </c>
      <c r="E426" t="s">
        <v>14</v>
      </c>
      <c r="F426" t="s">
        <v>28</v>
      </c>
      <c r="G426" t="s">
        <v>16</v>
      </c>
      <c r="H426">
        <v>1</v>
      </c>
      <c r="I426">
        <v>0</v>
      </c>
      <c r="J426">
        <v>160.97999999999999</v>
      </c>
      <c r="K426">
        <v>37.270000000000003</v>
      </c>
    </row>
    <row r="427" spans="1:11" x14ac:dyDescent="0.3">
      <c r="A427" t="s">
        <v>464</v>
      </c>
      <c r="B427" s="1">
        <v>45904</v>
      </c>
      <c r="C427" t="s">
        <v>26</v>
      </c>
      <c r="D427" t="s">
        <v>43</v>
      </c>
      <c r="E427" t="s">
        <v>23</v>
      </c>
      <c r="F427" t="s">
        <v>35</v>
      </c>
      <c r="G427" t="s">
        <v>16</v>
      </c>
      <c r="H427">
        <v>7</v>
      </c>
      <c r="I427">
        <v>0.1</v>
      </c>
      <c r="J427">
        <v>1186.82</v>
      </c>
      <c r="K427">
        <v>244.06</v>
      </c>
    </row>
    <row r="428" spans="1:11" x14ac:dyDescent="0.3">
      <c r="A428" t="s">
        <v>465</v>
      </c>
      <c r="B428" s="1">
        <v>45906</v>
      </c>
      <c r="C428" t="s">
        <v>26</v>
      </c>
      <c r="D428" t="s">
        <v>27</v>
      </c>
      <c r="E428" t="s">
        <v>14</v>
      </c>
      <c r="F428" t="s">
        <v>28</v>
      </c>
      <c r="G428" t="s">
        <v>32</v>
      </c>
      <c r="H428">
        <v>4</v>
      </c>
      <c r="I428">
        <v>0.15</v>
      </c>
      <c r="J428">
        <v>584.05999999999995</v>
      </c>
      <c r="K428">
        <v>-18.920000000000002</v>
      </c>
    </row>
    <row r="429" spans="1:11" x14ac:dyDescent="0.3">
      <c r="A429" t="s">
        <v>466</v>
      </c>
      <c r="B429" s="1">
        <v>45907</v>
      </c>
      <c r="C429" t="s">
        <v>12</v>
      </c>
      <c r="D429" t="s">
        <v>21</v>
      </c>
      <c r="E429" t="s">
        <v>44</v>
      </c>
      <c r="F429" t="s">
        <v>35</v>
      </c>
      <c r="G429" t="s">
        <v>68</v>
      </c>
      <c r="H429">
        <v>4</v>
      </c>
      <c r="I429">
        <v>0.3</v>
      </c>
      <c r="J429">
        <v>148.28</v>
      </c>
      <c r="K429">
        <v>15.94</v>
      </c>
    </row>
    <row r="430" spans="1:11" x14ac:dyDescent="0.3">
      <c r="A430" t="s">
        <v>467</v>
      </c>
      <c r="B430" s="1">
        <v>45907</v>
      </c>
      <c r="C430" t="s">
        <v>12</v>
      </c>
      <c r="D430" t="s">
        <v>13</v>
      </c>
      <c r="E430" t="s">
        <v>44</v>
      </c>
      <c r="F430" t="s">
        <v>35</v>
      </c>
      <c r="G430" t="s">
        <v>24</v>
      </c>
      <c r="H430">
        <v>4</v>
      </c>
      <c r="I430">
        <v>0</v>
      </c>
      <c r="J430">
        <v>225.15</v>
      </c>
      <c r="K430">
        <v>64.77</v>
      </c>
    </row>
    <row r="431" spans="1:11" x14ac:dyDescent="0.3">
      <c r="A431" t="s">
        <v>468</v>
      </c>
      <c r="B431" s="1">
        <v>45907</v>
      </c>
      <c r="C431" t="s">
        <v>30</v>
      </c>
      <c r="D431" t="s">
        <v>50</v>
      </c>
      <c r="E431" t="s">
        <v>14</v>
      </c>
      <c r="F431" t="s">
        <v>15</v>
      </c>
      <c r="G431" t="s">
        <v>47</v>
      </c>
      <c r="H431">
        <v>2</v>
      </c>
      <c r="I431">
        <v>0.1</v>
      </c>
      <c r="J431">
        <v>683.53</v>
      </c>
      <c r="K431">
        <v>20.170000000000002</v>
      </c>
    </row>
    <row r="432" spans="1:11" x14ac:dyDescent="0.3">
      <c r="A432" t="s">
        <v>469</v>
      </c>
      <c r="B432" s="1">
        <v>45908</v>
      </c>
      <c r="C432" t="s">
        <v>26</v>
      </c>
      <c r="D432" t="s">
        <v>27</v>
      </c>
      <c r="E432" t="s">
        <v>44</v>
      </c>
      <c r="F432" t="s">
        <v>35</v>
      </c>
      <c r="G432" t="s">
        <v>53</v>
      </c>
      <c r="H432">
        <v>5</v>
      </c>
      <c r="I432">
        <v>0</v>
      </c>
      <c r="J432">
        <v>894.17</v>
      </c>
      <c r="K432">
        <v>167.56</v>
      </c>
    </row>
    <row r="433" spans="1:11" x14ac:dyDescent="0.3">
      <c r="A433" t="s">
        <v>470</v>
      </c>
      <c r="B433" s="1">
        <v>45911</v>
      </c>
      <c r="C433" t="s">
        <v>26</v>
      </c>
      <c r="D433" t="s">
        <v>55</v>
      </c>
      <c r="E433" t="s">
        <v>23</v>
      </c>
      <c r="F433" t="s">
        <v>15</v>
      </c>
      <c r="G433" t="s">
        <v>16</v>
      </c>
      <c r="H433">
        <v>7</v>
      </c>
      <c r="I433">
        <v>0.3</v>
      </c>
      <c r="J433">
        <v>976.35</v>
      </c>
      <c r="K433">
        <v>153.88</v>
      </c>
    </row>
    <row r="434" spans="1:11" x14ac:dyDescent="0.3">
      <c r="A434" t="s">
        <v>471</v>
      </c>
      <c r="B434" s="1">
        <v>45913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>
        <v>8</v>
      </c>
      <c r="I434">
        <v>0</v>
      </c>
      <c r="J434">
        <v>746.48</v>
      </c>
      <c r="K434">
        <v>138.13</v>
      </c>
    </row>
    <row r="435" spans="1:11" x14ac:dyDescent="0.3">
      <c r="A435" t="s">
        <v>472</v>
      </c>
      <c r="B435" s="1">
        <v>45914</v>
      </c>
      <c r="C435" t="s">
        <v>26</v>
      </c>
      <c r="D435" t="s">
        <v>55</v>
      </c>
      <c r="E435" t="s">
        <v>18</v>
      </c>
      <c r="F435" t="s">
        <v>15</v>
      </c>
      <c r="G435" t="s">
        <v>24</v>
      </c>
      <c r="H435">
        <v>1</v>
      </c>
      <c r="I435">
        <v>0.1</v>
      </c>
      <c r="J435">
        <v>185.29</v>
      </c>
      <c r="K435">
        <v>7.14</v>
      </c>
    </row>
    <row r="436" spans="1:11" x14ac:dyDescent="0.3">
      <c r="A436" t="s">
        <v>473</v>
      </c>
      <c r="B436" s="1">
        <v>45914</v>
      </c>
      <c r="C436" t="s">
        <v>12</v>
      </c>
      <c r="D436" t="s">
        <v>13</v>
      </c>
      <c r="E436" t="s">
        <v>44</v>
      </c>
      <c r="F436" t="s">
        <v>15</v>
      </c>
      <c r="G436" t="s">
        <v>68</v>
      </c>
      <c r="H436">
        <v>7</v>
      </c>
      <c r="I436">
        <v>0.3</v>
      </c>
      <c r="J436">
        <v>575.54999999999995</v>
      </c>
      <c r="K436">
        <v>43.49</v>
      </c>
    </row>
    <row r="437" spans="1:11" x14ac:dyDescent="0.3">
      <c r="A437" t="s">
        <v>474</v>
      </c>
      <c r="B437" s="1">
        <v>45915</v>
      </c>
      <c r="C437" t="s">
        <v>26</v>
      </c>
      <c r="D437" t="s">
        <v>43</v>
      </c>
      <c r="E437" t="s">
        <v>44</v>
      </c>
      <c r="F437" t="s">
        <v>28</v>
      </c>
      <c r="G437" t="s">
        <v>68</v>
      </c>
      <c r="H437">
        <v>7</v>
      </c>
      <c r="I437">
        <v>0.15</v>
      </c>
      <c r="J437">
        <v>1341.86</v>
      </c>
      <c r="K437">
        <v>-63.53</v>
      </c>
    </row>
    <row r="438" spans="1:11" x14ac:dyDescent="0.3">
      <c r="A438" t="s">
        <v>475</v>
      </c>
      <c r="B438" s="1">
        <v>45920</v>
      </c>
      <c r="C438" t="s">
        <v>26</v>
      </c>
      <c r="D438" t="s">
        <v>55</v>
      </c>
      <c r="E438" t="s">
        <v>14</v>
      </c>
      <c r="F438" t="s">
        <v>35</v>
      </c>
      <c r="G438" t="s">
        <v>53</v>
      </c>
      <c r="H438">
        <v>1</v>
      </c>
      <c r="I438">
        <v>0.2</v>
      </c>
      <c r="J438">
        <v>187.15</v>
      </c>
      <c r="K438">
        <v>21.67</v>
      </c>
    </row>
    <row r="439" spans="1:11" x14ac:dyDescent="0.3">
      <c r="A439" t="s">
        <v>476</v>
      </c>
      <c r="B439" s="1">
        <v>45920</v>
      </c>
      <c r="C439" t="s">
        <v>12</v>
      </c>
      <c r="D439" t="s">
        <v>34</v>
      </c>
      <c r="E439" t="s">
        <v>18</v>
      </c>
      <c r="F439" t="s">
        <v>35</v>
      </c>
      <c r="G439" t="s">
        <v>24</v>
      </c>
      <c r="H439">
        <v>1</v>
      </c>
      <c r="I439">
        <v>0.1</v>
      </c>
      <c r="J439">
        <v>101.74</v>
      </c>
      <c r="K439">
        <v>4.83</v>
      </c>
    </row>
    <row r="440" spans="1:11" x14ac:dyDescent="0.3">
      <c r="A440" t="s">
        <v>477</v>
      </c>
      <c r="B440" s="1">
        <v>45921</v>
      </c>
      <c r="C440" t="s">
        <v>30</v>
      </c>
      <c r="D440" t="s">
        <v>40</v>
      </c>
      <c r="E440" t="s">
        <v>23</v>
      </c>
      <c r="F440" t="s">
        <v>28</v>
      </c>
      <c r="G440" t="s">
        <v>53</v>
      </c>
      <c r="H440">
        <v>1</v>
      </c>
      <c r="I440">
        <v>0</v>
      </c>
      <c r="J440">
        <v>200.92</v>
      </c>
      <c r="K440">
        <v>58.32</v>
      </c>
    </row>
    <row r="441" spans="1:11" x14ac:dyDescent="0.3">
      <c r="A441" t="s">
        <v>478</v>
      </c>
      <c r="B441" s="1">
        <v>45923</v>
      </c>
      <c r="C441" t="s">
        <v>30</v>
      </c>
      <c r="D441" t="s">
        <v>40</v>
      </c>
      <c r="E441" t="s">
        <v>18</v>
      </c>
      <c r="F441" t="s">
        <v>15</v>
      </c>
      <c r="G441" t="s">
        <v>24</v>
      </c>
      <c r="H441">
        <v>5</v>
      </c>
      <c r="I441">
        <v>0.1</v>
      </c>
      <c r="J441">
        <v>993.81</v>
      </c>
      <c r="K441">
        <v>200.07</v>
      </c>
    </row>
    <row r="442" spans="1:11" x14ac:dyDescent="0.3">
      <c r="A442" t="s">
        <v>479</v>
      </c>
      <c r="B442" s="1">
        <v>45925</v>
      </c>
      <c r="C442" t="s">
        <v>12</v>
      </c>
      <c r="D442" t="s">
        <v>34</v>
      </c>
      <c r="E442" t="s">
        <v>44</v>
      </c>
      <c r="F442" t="s">
        <v>28</v>
      </c>
      <c r="G442" t="s">
        <v>19</v>
      </c>
      <c r="H442">
        <v>1</v>
      </c>
      <c r="I442">
        <v>0.2</v>
      </c>
      <c r="J442">
        <v>76.75</v>
      </c>
      <c r="K442">
        <v>3.38</v>
      </c>
    </row>
    <row r="443" spans="1:11" x14ac:dyDescent="0.3">
      <c r="A443" t="s">
        <v>480</v>
      </c>
      <c r="B443" s="1">
        <v>45926</v>
      </c>
      <c r="C443" t="s">
        <v>26</v>
      </c>
      <c r="D443" t="s">
        <v>43</v>
      </c>
      <c r="E443" t="s">
        <v>14</v>
      </c>
      <c r="F443" t="s">
        <v>15</v>
      </c>
      <c r="G443" t="s">
        <v>19</v>
      </c>
      <c r="H443">
        <v>1</v>
      </c>
      <c r="I443">
        <v>0.05</v>
      </c>
      <c r="J443">
        <v>167.29</v>
      </c>
      <c r="K443">
        <v>46.5</v>
      </c>
    </row>
    <row r="444" spans="1:11" x14ac:dyDescent="0.3">
      <c r="A444" t="s">
        <v>481</v>
      </c>
      <c r="B444" s="1">
        <v>45931</v>
      </c>
      <c r="C444" t="s">
        <v>30</v>
      </c>
      <c r="D444" t="s">
        <v>31</v>
      </c>
      <c r="E444" t="s">
        <v>18</v>
      </c>
      <c r="F444" t="s">
        <v>28</v>
      </c>
      <c r="G444" t="s">
        <v>53</v>
      </c>
      <c r="H444">
        <v>2</v>
      </c>
      <c r="I444">
        <v>0.15</v>
      </c>
      <c r="J444">
        <v>543.13</v>
      </c>
      <c r="K444">
        <v>60.25</v>
      </c>
    </row>
    <row r="445" spans="1:11" x14ac:dyDescent="0.3">
      <c r="A445" t="s">
        <v>482</v>
      </c>
      <c r="B445" s="1">
        <v>45932</v>
      </c>
      <c r="C445" t="s">
        <v>12</v>
      </c>
      <c r="D445" t="s">
        <v>21</v>
      </c>
      <c r="E445" t="s">
        <v>44</v>
      </c>
      <c r="F445" t="s">
        <v>15</v>
      </c>
      <c r="G445" t="s">
        <v>47</v>
      </c>
      <c r="H445">
        <v>3</v>
      </c>
      <c r="I445">
        <v>0.2</v>
      </c>
      <c r="J445">
        <v>206.95</v>
      </c>
      <c r="K445">
        <v>0.55000000000000004</v>
      </c>
    </row>
    <row r="446" spans="1:11" x14ac:dyDescent="0.3">
      <c r="A446" t="s">
        <v>483</v>
      </c>
      <c r="B446" s="1">
        <v>45934</v>
      </c>
      <c r="C446" t="s">
        <v>12</v>
      </c>
      <c r="D446" t="s">
        <v>46</v>
      </c>
      <c r="E446" t="s">
        <v>23</v>
      </c>
      <c r="F446" t="s">
        <v>28</v>
      </c>
      <c r="G446" t="s">
        <v>32</v>
      </c>
      <c r="H446">
        <v>8</v>
      </c>
      <c r="I446">
        <v>0.2</v>
      </c>
      <c r="J446">
        <v>579.86</v>
      </c>
      <c r="K446">
        <v>89.9</v>
      </c>
    </row>
    <row r="447" spans="1:11" x14ac:dyDescent="0.3">
      <c r="A447" t="s">
        <v>484</v>
      </c>
      <c r="B447" s="1">
        <v>45935</v>
      </c>
      <c r="C447" t="s">
        <v>30</v>
      </c>
      <c r="D447" t="s">
        <v>31</v>
      </c>
      <c r="E447" t="s">
        <v>14</v>
      </c>
      <c r="F447" t="s">
        <v>35</v>
      </c>
      <c r="G447" t="s">
        <v>32</v>
      </c>
      <c r="H447">
        <v>4</v>
      </c>
      <c r="I447">
        <v>0.05</v>
      </c>
      <c r="J447">
        <v>987.6</v>
      </c>
      <c r="K447">
        <v>106.53</v>
      </c>
    </row>
    <row r="448" spans="1:11" x14ac:dyDescent="0.3">
      <c r="A448" t="s">
        <v>485</v>
      </c>
      <c r="B448" s="1">
        <v>45937</v>
      </c>
      <c r="C448" t="s">
        <v>12</v>
      </c>
      <c r="D448" t="s">
        <v>34</v>
      </c>
      <c r="E448" t="s">
        <v>18</v>
      </c>
      <c r="F448" t="s">
        <v>35</v>
      </c>
      <c r="G448" t="s">
        <v>53</v>
      </c>
      <c r="H448">
        <v>4</v>
      </c>
      <c r="I448">
        <v>0.2</v>
      </c>
      <c r="J448">
        <v>246.67</v>
      </c>
      <c r="K448">
        <v>41.71</v>
      </c>
    </row>
    <row r="449" spans="1:11" x14ac:dyDescent="0.3">
      <c r="A449" t="s">
        <v>486</v>
      </c>
      <c r="B449" s="1">
        <v>45940</v>
      </c>
      <c r="C449" t="s">
        <v>30</v>
      </c>
      <c r="D449" t="s">
        <v>50</v>
      </c>
      <c r="E449" t="s">
        <v>18</v>
      </c>
      <c r="F449" t="s">
        <v>28</v>
      </c>
      <c r="G449" t="s">
        <v>32</v>
      </c>
      <c r="H449">
        <v>7</v>
      </c>
      <c r="I449">
        <v>0.15</v>
      </c>
      <c r="J449">
        <v>1490.54</v>
      </c>
      <c r="K449">
        <v>217.26</v>
      </c>
    </row>
    <row r="450" spans="1:11" x14ac:dyDescent="0.3">
      <c r="A450" t="s">
        <v>487</v>
      </c>
      <c r="B450" s="1">
        <v>45946</v>
      </c>
      <c r="C450" t="s">
        <v>30</v>
      </c>
      <c r="D450" t="s">
        <v>31</v>
      </c>
      <c r="E450" t="s">
        <v>14</v>
      </c>
      <c r="F450" t="s">
        <v>15</v>
      </c>
      <c r="G450" t="s">
        <v>24</v>
      </c>
      <c r="H450">
        <v>5</v>
      </c>
      <c r="I450">
        <v>0.1</v>
      </c>
      <c r="J450">
        <v>1649.38</v>
      </c>
      <c r="K450">
        <v>250.76</v>
      </c>
    </row>
    <row r="451" spans="1:11" x14ac:dyDescent="0.3">
      <c r="A451" t="s">
        <v>488</v>
      </c>
      <c r="B451" s="1">
        <v>45951</v>
      </c>
      <c r="C451" t="s">
        <v>12</v>
      </c>
      <c r="D451" t="s">
        <v>13</v>
      </c>
      <c r="E451" t="s">
        <v>18</v>
      </c>
      <c r="F451" t="s">
        <v>15</v>
      </c>
      <c r="G451" t="s">
        <v>16</v>
      </c>
      <c r="H451">
        <v>1</v>
      </c>
      <c r="I451">
        <v>0.2</v>
      </c>
      <c r="J451">
        <v>87.34</v>
      </c>
      <c r="K451">
        <v>18.329999999999998</v>
      </c>
    </row>
    <row r="452" spans="1:11" x14ac:dyDescent="0.3">
      <c r="A452" t="s">
        <v>489</v>
      </c>
      <c r="B452" s="1">
        <v>45952</v>
      </c>
      <c r="C452" t="s">
        <v>30</v>
      </c>
      <c r="D452" t="s">
        <v>40</v>
      </c>
      <c r="E452" t="s">
        <v>14</v>
      </c>
      <c r="F452" t="s">
        <v>28</v>
      </c>
      <c r="G452" t="s">
        <v>47</v>
      </c>
      <c r="H452">
        <v>8</v>
      </c>
      <c r="I452">
        <v>0.1</v>
      </c>
      <c r="J452">
        <v>1266.1199999999999</v>
      </c>
      <c r="K452">
        <v>103.57</v>
      </c>
    </row>
    <row r="453" spans="1:11" x14ac:dyDescent="0.3">
      <c r="A453" t="s">
        <v>490</v>
      </c>
      <c r="B453" s="1">
        <v>45952</v>
      </c>
      <c r="C453" t="s">
        <v>26</v>
      </c>
      <c r="D453" t="s">
        <v>43</v>
      </c>
      <c r="E453" t="s">
        <v>44</v>
      </c>
      <c r="F453" t="s">
        <v>35</v>
      </c>
      <c r="G453" t="s">
        <v>47</v>
      </c>
      <c r="H453">
        <v>2</v>
      </c>
      <c r="I453">
        <v>0.1</v>
      </c>
      <c r="J453">
        <v>217.33</v>
      </c>
      <c r="K453">
        <v>50.62</v>
      </c>
    </row>
    <row r="454" spans="1:11" x14ac:dyDescent="0.3">
      <c r="A454" t="s">
        <v>491</v>
      </c>
      <c r="B454" s="1">
        <v>45953</v>
      </c>
      <c r="C454" t="s">
        <v>30</v>
      </c>
      <c r="D454" t="s">
        <v>50</v>
      </c>
      <c r="E454" t="s">
        <v>23</v>
      </c>
      <c r="F454" t="s">
        <v>35</v>
      </c>
      <c r="G454" t="s">
        <v>16</v>
      </c>
      <c r="H454">
        <v>9</v>
      </c>
      <c r="I454">
        <v>0.1</v>
      </c>
      <c r="J454">
        <v>764.59</v>
      </c>
      <c r="K454">
        <v>108.63</v>
      </c>
    </row>
    <row r="455" spans="1:11" x14ac:dyDescent="0.3">
      <c r="A455" t="s">
        <v>492</v>
      </c>
      <c r="B455" s="1">
        <v>45955</v>
      </c>
      <c r="C455" t="s">
        <v>12</v>
      </c>
      <c r="D455" t="s">
        <v>46</v>
      </c>
      <c r="E455" t="s">
        <v>14</v>
      </c>
      <c r="F455" t="s">
        <v>28</v>
      </c>
      <c r="G455" t="s">
        <v>47</v>
      </c>
      <c r="H455">
        <v>6</v>
      </c>
      <c r="I455">
        <v>0.1</v>
      </c>
      <c r="J455">
        <v>653.01</v>
      </c>
      <c r="K455">
        <v>120.83</v>
      </c>
    </row>
    <row r="456" spans="1:11" x14ac:dyDescent="0.3">
      <c r="A456" t="s">
        <v>493</v>
      </c>
      <c r="B456" s="1">
        <v>45955</v>
      </c>
      <c r="C456" t="s">
        <v>26</v>
      </c>
      <c r="D456" t="s">
        <v>43</v>
      </c>
      <c r="E456" t="s">
        <v>18</v>
      </c>
      <c r="F456" t="s">
        <v>28</v>
      </c>
      <c r="G456" t="s">
        <v>19</v>
      </c>
      <c r="H456">
        <v>7</v>
      </c>
      <c r="I456">
        <v>0.15</v>
      </c>
      <c r="J456">
        <v>949.83</v>
      </c>
      <c r="K456">
        <v>233.37</v>
      </c>
    </row>
    <row r="457" spans="1:11" x14ac:dyDescent="0.3">
      <c r="A457" t="s">
        <v>494</v>
      </c>
      <c r="B457" s="1">
        <v>45956</v>
      </c>
      <c r="C457" t="s">
        <v>12</v>
      </c>
      <c r="D457" t="s">
        <v>46</v>
      </c>
      <c r="E457" t="s">
        <v>23</v>
      </c>
      <c r="F457" t="s">
        <v>28</v>
      </c>
      <c r="G457" t="s">
        <v>47</v>
      </c>
      <c r="H457">
        <v>7</v>
      </c>
      <c r="I457">
        <v>0.15</v>
      </c>
      <c r="J457">
        <v>599.16999999999996</v>
      </c>
      <c r="K457">
        <v>34.53</v>
      </c>
    </row>
    <row r="458" spans="1:11" x14ac:dyDescent="0.3">
      <c r="A458" t="s">
        <v>495</v>
      </c>
      <c r="B458" s="1">
        <v>45957</v>
      </c>
      <c r="C458" t="s">
        <v>12</v>
      </c>
      <c r="D458" t="s">
        <v>34</v>
      </c>
      <c r="E458" t="s">
        <v>23</v>
      </c>
      <c r="F458" t="s">
        <v>15</v>
      </c>
      <c r="G458" t="s">
        <v>47</v>
      </c>
      <c r="H458">
        <v>9</v>
      </c>
      <c r="I458">
        <v>0.05</v>
      </c>
      <c r="J458">
        <v>988.53</v>
      </c>
      <c r="K458">
        <v>249.51</v>
      </c>
    </row>
    <row r="459" spans="1:11" x14ac:dyDescent="0.3">
      <c r="A459" t="s">
        <v>496</v>
      </c>
      <c r="B459" s="1">
        <v>45957</v>
      </c>
      <c r="C459" t="s">
        <v>12</v>
      </c>
      <c r="D459" t="s">
        <v>13</v>
      </c>
      <c r="E459" t="s">
        <v>18</v>
      </c>
      <c r="F459" t="s">
        <v>28</v>
      </c>
      <c r="G459" t="s">
        <v>19</v>
      </c>
      <c r="H459">
        <v>1</v>
      </c>
      <c r="I459">
        <v>0.1</v>
      </c>
      <c r="J459">
        <v>55.5</v>
      </c>
      <c r="K459">
        <v>10.62</v>
      </c>
    </row>
    <row r="460" spans="1:11" x14ac:dyDescent="0.3">
      <c r="A460" t="s">
        <v>497</v>
      </c>
      <c r="B460" s="1">
        <v>45957</v>
      </c>
      <c r="C460" t="s">
        <v>30</v>
      </c>
      <c r="D460" t="s">
        <v>50</v>
      </c>
      <c r="E460" t="s">
        <v>14</v>
      </c>
      <c r="F460" t="s">
        <v>15</v>
      </c>
      <c r="G460" t="s">
        <v>47</v>
      </c>
      <c r="H460">
        <v>7</v>
      </c>
      <c r="I460">
        <v>0.1</v>
      </c>
      <c r="J460">
        <v>1372.02</v>
      </c>
      <c r="K460">
        <v>-107.68</v>
      </c>
    </row>
    <row r="461" spans="1:11" x14ac:dyDescent="0.3">
      <c r="A461" t="s">
        <v>498</v>
      </c>
      <c r="B461" s="1">
        <v>45961</v>
      </c>
      <c r="C461" t="s">
        <v>12</v>
      </c>
      <c r="D461" t="s">
        <v>34</v>
      </c>
      <c r="E461" t="s">
        <v>23</v>
      </c>
      <c r="F461" t="s">
        <v>35</v>
      </c>
      <c r="G461" t="s">
        <v>53</v>
      </c>
      <c r="H461">
        <v>5</v>
      </c>
      <c r="I461">
        <v>0.1</v>
      </c>
      <c r="J461">
        <v>448.57</v>
      </c>
      <c r="K461">
        <v>27.95</v>
      </c>
    </row>
    <row r="462" spans="1:11" x14ac:dyDescent="0.3">
      <c r="A462" t="s">
        <v>499</v>
      </c>
      <c r="B462" s="1">
        <v>45961</v>
      </c>
      <c r="C462" t="s">
        <v>26</v>
      </c>
      <c r="D462" t="s">
        <v>27</v>
      </c>
      <c r="E462" t="s">
        <v>44</v>
      </c>
      <c r="F462" t="s">
        <v>35</v>
      </c>
      <c r="G462" t="s">
        <v>53</v>
      </c>
      <c r="H462">
        <v>8</v>
      </c>
      <c r="I462">
        <v>0.05</v>
      </c>
      <c r="J462">
        <v>1865.66</v>
      </c>
      <c r="K462">
        <v>323.51</v>
      </c>
    </row>
    <row r="463" spans="1:11" x14ac:dyDescent="0.3">
      <c r="A463" t="s">
        <v>500</v>
      </c>
      <c r="B463" s="1">
        <v>45964</v>
      </c>
      <c r="C463" t="s">
        <v>30</v>
      </c>
      <c r="D463" t="s">
        <v>50</v>
      </c>
      <c r="E463" t="s">
        <v>44</v>
      </c>
      <c r="F463" t="s">
        <v>35</v>
      </c>
      <c r="G463" t="s">
        <v>38</v>
      </c>
      <c r="H463">
        <v>2</v>
      </c>
      <c r="I463">
        <v>0.15</v>
      </c>
      <c r="J463">
        <v>403.94</v>
      </c>
      <c r="K463">
        <v>-21.93</v>
      </c>
    </row>
    <row r="464" spans="1:11" x14ac:dyDescent="0.3">
      <c r="A464" t="s">
        <v>501</v>
      </c>
      <c r="B464" s="1">
        <v>45967</v>
      </c>
      <c r="C464" t="s">
        <v>30</v>
      </c>
      <c r="D464" t="s">
        <v>31</v>
      </c>
      <c r="E464" t="s">
        <v>44</v>
      </c>
      <c r="F464" t="s">
        <v>28</v>
      </c>
      <c r="G464" t="s">
        <v>16</v>
      </c>
      <c r="H464">
        <v>4</v>
      </c>
      <c r="I464">
        <v>0.1</v>
      </c>
      <c r="J464">
        <v>168.69</v>
      </c>
      <c r="K464">
        <v>24.9</v>
      </c>
    </row>
    <row r="465" spans="1:11" x14ac:dyDescent="0.3">
      <c r="A465" t="s">
        <v>502</v>
      </c>
      <c r="B465" s="1">
        <v>45968</v>
      </c>
      <c r="C465" t="s">
        <v>12</v>
      </c>
      <c r="D465" t="s">
        <v>13</v>
      </c>
      <c r="E465" t="s">
        <v>14</v>
      </c>
      <c r="F465" t="s">
        <v>28</v>
      </c>
      <c r="G465" t="s">
        <v>19</v>
      </c>
      <c r="H465">
        <v>3</v>
      </c>
      <c r="I465">
        <v>0.2</v>
      </c>
      <c r="J465">
        <v>131.4</v>
      </c>
      <c r="K465">
        <v>13.6</v>
      </c>
    </row>
    <row r="466" spans="1:11" x14ac:dyDescent="0.3">
      <c r="A466" t="s">
        <v>503</v>
      </c>
      <c r="B466" s="1">
        <v>45969</v>
      </c>
      <c r="C466" t="s">
        <v>30</v>
      </c>
      <c r="D466" t="s">
        <v>40</v>
      </c>
      <c r="E466" t="s">
        <v>44</v>
      </c>
      <c r="F466" t="s">
        <v>15</v>
      </c>
      <c r="G466" t="s">
        <v>24</v>
      </c>
      <c r="H466">
        <v>4</v>
      </c>
      <c r="I466">
        <v>0.3</v>
      </c>
      <c r="J466">
        <v>689.63</v>
      </c>
      <c r="K466">
        <v>149.69</v>
      </c>
    </row>
    <row r="467" spans="1:11" x14ac:dyDescent="0.3">
      <c r="A467" t="s">
        <v>504</v>
      </c>
      <c r="B467" s="1">
        <v>45974</v>
      </c>
      <c r="C467" t="s">
        <v>12</v>
      </c>
      <c r="D467" t="s">
        <v>46</v>
      </c>
      <c r="E467" t="s">
        <v>23</v>
      </c>
      <c r="F467" t="s">
        <v>15</v>
      </c>
      <c r="G467" t="s">
        <v>19</v>
      </c>
      <c r="H467">
        <v>3</v>
      </c>
      <c r="I467">
        <v>0</v>
      </c>
      <c r="J467">
        <v>199.59</v>
      </c>
      <c r="K467">
        <v>27.12</v>
      </c>
    </row>
    <row r="468" spans="1:11" x14ac:dyDescent="0.3">
      <c r="A468" t="s">
        <v>505</v>
      </c>
      <c r="B468" s="1">
        <v>45976</v>
      </c>
      <c r="C468" t="s">
        <v>12</v>
      </c>
      <c r="D468" t="s">
        <v>34</v>
      </c>
      <c r="E468" t="s">
        <v>23</v>
      </c>
      <c r="F468" t="s">
        <v>35</v>
      </c>
      <c r="G468" t="s">
        <v>24</v>
      </c>
      <c r="H468">
        <v>7</v>
      </c>
      <c r="I468">
        <v>0.2</v>
      </c>
      <c r="J468">
        <v>465.36</v>
      </c>
      <c r="K468">
        <v>-16.47</v>
      </c>
    </row>
    <row r="469" spans="1:11" x14ac:dyDescent="0.3">
      <c r="A469" t="s">
        <v>506</v>
      </c>
      <c r="B469" s="1">
        <v>45979</v>
      </c>
      <c r="C469" t="s">
        <v>26</v>
      </c>
      <c r="D469" t="s">
        <v>27</v>
      </c>
      <c r="E469" t="s">
        <v>23</v>
      </c>
      <c r="F469" t="s">
        <v>28</v>
      </c>
      <c r="G469" t="s">
        <v>53</v>
      </c>
      <c r="H469">
        <v>8</v>
      </c>
      <c r="I469">
        <v>0.1</v>
      </c>
      <c r="J469">
        <v>1428.75</v>
      </c>
      <c r="K469">
        <v>158.22</v>
      </c>
    </row>
    <row r="470" spans="1:11" x14ac:dyDescent="0.3">
      <c r="A470" t="s">
        <v>507</v>
      </c>
      <c r="B470" s="1">
        <v>45979</v>
      </c>
      <c r="C470" t="s">
        <v>26</v>
      </c>
      <c r="D470" t="s">
        <v>27</v>
      </c>
      <c r="E470" t="s">
        <v>23</v>
      </c>
      <c r="F470" t="s">
        <v>35</v>
      </c>
      <c r="G470" t="s">
        <v>47</v>
      </c>
      <c r="H470">
        <v>6</v>
      </c>
      <c r="I470">
        <v>0.1</v>
      </c>
      <c r="J470">
        <v>1073.98</v>
      </c>
      <c r="K470">
        <v>194.55</v>
      </c>
    </row>
    <row r="471" spans="1:11" x14ac:dyDescent="0.3">
      <c r="A471" t="s">
        <v>508</v>
      </c>
      <c r="B471" s="1">
        <v>45980</v>
      </c>
      <c r="C471" t="s">
        <v>12</v>
      </c>
      <c r="D471" t="s">
        <v>34</v>
      </c>
      <c r="E471" t="s">
        <v>14</v>
      </c>
      <c r="F471" t="s">
        <v>28</v>
      </c>
      <c r="G471" t="s">
        <v>19</v>
      </c>
      <c r="H471">
        <v>2</v>
      </c>
      <c r="I471">
        <v>0.15</v>
      </c>
      <c r="J471">
        <v>136.22999999999999</v>
      </c>
      <c r="K471">
        <v>21.59</v>
      </c>
    </row>
    <row r="472" spans="1:11" x14ac:dyDescent="0.3">
      <c r="A472" t="s">
        <v>509</v>
      </c>
      <c r="B472" s="1">
        <v>45980</v>
      </c>
      <c r="C472" t="s">
        <v>30</v>
      </c>
      <c r="D472" t="s">
        <v>40</v>
      </c>
      <c r="E472" t="s">
        <v>44</v>
      </c>
      <c r="F472" t="s">
        <v>15</v>
      </c>
      <c r="G472" t="s">
        <v>19</v>
      </c>
      <c r="H472">
        <v>8</v>
      </c>
      <c r="I472">
        <v>0.1</v>
      </c>
      <c r="J472">
        <v>2262.41</v>
      </c>
      <c r="K472">
        <v>439.5</v>
      </c>
    </row>
    <row r="473" spans="1:11" x14ac:dyDescent="0.3">
      <c r="A473" t="s">
        <v>510</v>
      </c>
      <c r="B473" s="1">
        <v>45980</v>
      </c>
      <c r="C473" t="s">
        <v>12</v>
      </c>
      <c r="D473" t="s">
        <v>13</v>
      </c>
      <c r="E473" t="s">
        <v>23</v>
      </c>
      <c r="F473" t="s">
        <v>28</v>
      </c>
      <c r="G473" t="s">
        <v>32</v>
      </c>
      <c r="H473">
        <v>6</v>
      </c>
      <c r="I473">
        <v>0.15</v>
      </c>
      <c r="J473">
        <v>621.28</v>
      </c>
      <c r="K473">
        <v>103.51</v>
      </c>
    </row>
    <row r="474" spans="1:11" x14ac:dyDescent="0.3">
      <c r="A474" t="s">
        <v>511</v>
      </c>
      <c r="B474" s="1">
        <v>45981</v>
      </c>
      <c r="C474" t="s">
        <v>26</v>
      </c>
      <c r="D474" t="s">
        <v>55</v>
      </c>
      <c r="E474" t="s">
        <v>23</v>
      </c>
      <c r="F474" t="s">
        <v>28</v>
      </c>
      <c r="G474" t="s">
        <v>68</v>
      </c>
      <c r="H474">
        <v>4</v>
      </c>
      <c r="I474">
        <v>0.3</v>
      </c>
      <c r="J474">
        <v>659.98</v>
      </c>
      <c r="K474">
        <v>-16.829999999999998</v>
      </c>
    </row>
    <row r="475" spans="1:11" x14ac:dyDescent="0.3">
      <c r="A475" t="s">
        <v>512</v>
      </c>
      <c r="B475" s="1">
        <v>45984</v>
      </c>
      <c r="C475" t="s">
        <v>30</v>
      </c>
      <c r="D475" t="s">
        <v>50</v>
      </c>
      <c r="E475" t="s">
        <v>23</v>
      </c>
      <c r="F475" t="s">
        <v>28</v>
      </c>
      <c r="G475" t="s">
        <v>38</v>
      </c>
      <c r="H475">
        <v>9</v>
      </c>
      <c r="I475">
        <v>0.05</v>
      </c>
      <c r="J475">
        <v>1782.37</v>
      </c>
      <c r="K475">
        <v>313.3</v>
      </c>
    </row>
    <row r="476" spans="1:11" x14ac:dyDescent="0.3">
      <c r="A476" t="s">
        <v>513</v>
      </c>
      <c r="B476" s="1">
        <v>45988</v>
      </c>
      <c r="C476" t="s">
        <v>30</v>
      </c>
      <c r="D476" t="s">
        <v>40</v>
      </c>
      <c r="E476" t="s">
        <v>18</v>
      </c>
      <c r="F476" t="s">
        <v>15</v>
      </c>
      <c r="G476" t="s">
        <v>47</v>
      </c>
      <c r="H476">
        <v>8</v>
      </c>
      <c r="I476">
        <v>0</v>
      </c>
      <c r="J476">
        <v>2994.9</v>
      </c>
      <c r="K476">
        <v>567.74</v>
      </c>
    </row>
    <row r="477" spans="1:11" x14ac:dyDescent="0.3">
      <c r="A477" t="s">
        <v>514</v>
      </c>
      <c r="B477" s="1">
        <v>45989</v>
      </c>
      <c r="C477" t="s">
        <v>12</v>
      </c>
      <c r="D477" t="s">
        <v>21</v>
      </c>
      <c r="E477" t="s">
        <v>14</v>
      </c>
      <c r="F477" t="s">
        <v>35</v>
      </c>
      <c r="G477" t="s">
        <v>38</v>
      </c>
      <c r="H477">
        <v>4</v>
      </c>
      <c r="I477">
        <v>0.1</v>
      </c>
      <c r="J477">
        <v>369.66</v>
      </c>
      <c r="K477">
        <v>29.52</v>
      </c>
    </row>
    <row r="478" spans="1:11" x14ac:dyDescent="0.3">
      <c r="A478" t="s">
        <v>515</v>
      </c>
      <c r="B478" s="1">
        <v>45991</v>
      </c>
      <c r="C478" t="s">
        <v>12</v>
      </c>
      <c r="D478" t="s">
        <v>34</v>
      </c>
      <c r="E478" t="s">
        <v>18</v>
      </c>
      <c r="F478" t="s">
        <v>35</v>
      </c>
      <c r="G478" t="s">
        <v>38</v>
      </c>
      <c r="H478">
        <v>8</v>
      </c>
      <c r="I478">
        <v>0.1</v>
      </c>
      <c r="J478">
        <v>716.63</v>
      </c>
      <c r="K478">
        <v>42.54</v>
      </c>
    </row>
    <row r="479" spans="1:11" x14ac:dyDescent="0.3">
      <c r="A479" t="s">
        <v>516</v>
      </c>
      <c r="B479" s="1">
        <v>45992</v>
      </c>
      <c r="C479" t="s">
        <v>12</v>
      </c>
      <c r="D479" t="s">
        <v>21</v>
      </c>
      <c r="E479" t="s">
        <v>23</v>
      </c>
      <c r="F479" t="s">
        <v>15</v>
      </c>
      <c r="G479" t="s">
        <v>16</v>
      </c>
      <c r="H479">
        <v>9</v>
      </c>
      <c r="I479">
        <v>0</v>
      </c>
      <c r="J479">
        <v>673.84</v>
      </c>
      <c r="K479">
        <v>136.27000000000001</v>
      </c>
    </row>
    <row r="480" spans="1:11" x14ac:dyDescent="0.3">
      <c r="A480" t="s">
        <v>517</v>
      </c>
      <c r="B480" s="1">
        <v>45993</v>
      </c>
      <c r="C480" t="s">
        <v>12</v>
      </c>
      <c r="D480" t="s">
        <v>34</v>
      </c>
      <c r="E480" t="s">
        <v>23</v>
      </c>
      <c r="F480" t="s">
        <v>15</v>
      </c>
      <c r="G480" t="s">
        <v>16</v>
      </c>
      <c r="H480">
        <v>4</v>
      </c>
      <c r="I480">
        <v>0.05</v>
      </c>
      <c r="J480">
        <v>243.87</v>
      </c>
      <c r="K480">
        <v>27.8</v>
      </c>
    </row>
    <row r="481" spans="1:11" x14ac:dyDescent="0.3">
      <c r="A481" t="s">
        <v>518</v>
      </c>
      <c r="B481" s="1">
        <v>45996</v>
      </c>
      <c r="C481" t="s">
        <v>12</v>
      </c>
      <c r="D481" t="s">
        <v>21</v>
      </c>
      <c r="E481" t="s">
        <v>14</v>
      </c>
      <c r="F481" t="s">
        <v>28</v>
      </c>
      <c r="G481" t="s">
        <v>32</v>
      </c>
      <c r="H481">
        <v>4</v>
      </c>
      <c r="I481">
        <v>0.2</v>
      </c>
      <c r="J481">
        <v>158.15</v>
      </c>
      <c r="K481">
        <v>16.73</v>
      </c>
    </row>
    <row r="482" spans="1:11" x14ac:dyDescent="0.3">
      <c r="A482" t="s">
        <v>519</v>
      </c>
      <c r="B482" s="1">
        <v>45996</v>
      </c>
      <c r="C482" t="s">
        <v>12</v>
      </c>
      <c r="D482" t="s">
        <v>13</v>
      </c>
      <c r="E482" t="s">
        <v>23</v>
      </c>
      <c r="F482" t="s">
        <v>28</v>
      </c>
      <c r="G482" t="s">
        <v>38</v>
      </c>
      <c r="H482">
        <v>7</v>
      </c>
      <c r="I482">
        <v>0.15</v>
      </c>
      <c r="J482">
        <v>407.59</v>
      </c>
      <c r="K482">
        <v>2.6</v>
      </c>
    </row>
    <row r="483" spans="1:11" x14ac:dyDescent="0.3">
      <c r="A483" t="s">
        <v>520</v>
      </c>
      <c r="B483" s="1">
        <v>45998</v>
      </c>
      <c r="C483" t="s">
        <v>26</v>
      </c>
      <c r="D483" t="s">
        <v>27</v>
      </c>
      <c r="E483" t="s">
        <v>14</v>
      </c>
      <c r="F483" t="s">
        <v>15</v>
      </c>
      <c r="G483" t="s">
        <v>32</v>
      </c>
      <c r="H483">
        <v>5</v>
      </c>
      <c r="I483">
        <v>0.1</v>
      </c>
      <c r="J483">
        <v>894.44</v>
      </c>
      <c r="K483">
        <v>65.94</v>
      </c>
    </row>
    <row r="484" spans="1:11" x14ac:dyDescent="0.3">
      <c r="A484" t="s">
        <v>521</v>
      </c>
      <c r="B484" s="1">
        <v>46000</v>
      </c>
      <c r="C484" t="s">
        <v>26</v>
      </c>
      <c r="D484" t="s">
        <v>43</v>
      </c>
      <c r="E484" t="s">
        <v>18</v>
      </c>
      <c r="F484" t="s">
        <v>28</v>
      </c>
      <c r="G484" t="s">
        <v>47</v>
      </c>
      <c r="H484">
        <v>1</v>
      </c>
      <c r="I484">
        <v>0.15</v>
      </c>
      <c r="J484">
        <v>108.32</v>
      </c>
      <c r="K484">
        <v>-0.39</v>
      </c>
    </row>
    <row r="485" spans="1:11" x14ac:dyDescent="0.3">
      <c r="A485" t="s">
        <v>522</v>
      </c>
      <c r="B485" s="1">
        <v>46001</v>
      </c>
      <c r="C485" t="s">
        <v>26</v>
      </c>
      <c r="D485" t="s">
        <v>43</v>
      </c>
      <c r="E485" t="s">
        <v>14</v>
      </c>
      <c r="F485" t="s">
        <v>15</v>
      </c>
      <c r="G485" t="s">
        <v>53</v>
      </c>
      <c r="H485">
        <v>7</v>
      </c>
      <c r="I485">
        <v>0.15</v>
      </c>
      <c r="J485">
        <v>1469.88</v>
      </c>
      <c r="K485">
        <v>-176.35</v>
      </c>
    </row>
    <row r="486" spans="1:11" x14ac:dyDescent="0.3">
      <c r="A486" t="s">
        <v>523</v>
      </c>
      <c r="B486" s="1">
        <v>46001</v>
      </c>
      <c r="C486" t="s">
        <v>26</v>
      </c>
      <c r="D486" t="s">
        <v>27</v>
      </c>
      <c r="E486" t="s">
        <v>23</v>
      </c>
      <c r="F486" t="s">
        <v>28</v>
      </c>
      <c r="G486" t="s">
        <v>32</v>
      </c>
      <c r="H486">
        <v>1</v>
      </c>
      <c r="I486">
        <v>0.05</v>
      </c>
      <c r="J486">
        <v>193.31</v>
      </c>
      <c r="K486">
        <v>29.53</v>
      </c>
    </row>
    <row r="487" spans="1:11" x14ac:dyDescent="0.3">
      <c r="A487" t="s">
        <v>524</v>
      </c>
      <c r="B487" s="1">
        <v>46001</v>
      </c>
      <c r="C487" t="s">
        <v>12</v>
      </c>
      <c r="D487" t="s">
        <v>13</v>
      </c>
      <c r="E487" t="s">
        <v>14</v>
      </c>
      <c r="F487" t="s">
        <v>15</v>
      </c>
      <c r="G487" t="s">
        <v>47</v>
      </c>
      <c r="H487">
        <v>1</v>
      </c>
      <c r="I487">
        <v>0</v>
      </c>
      <c r="J487">
        <v>83.69</v>
      </c>
      <c r="K487">
        <v>7.51</v>
      </c>
    </row>
    <row r="488" spans="1:11" x14ac:dyDescent="0.3">
      <c r="A488" t="s">
        <v>525</v>
      </c>
      <c r="B488" s="1">
        <v>46002</v>
      </c>
      <c r="C488" t="s">
        <v>26</v>
      </c>
      <c r="D488" t="s">
        <v>55</v>
      </c>
      <c r="E488" t="s">
        <v>18</v>
      </c>
      <c r="F488" t="s">
        <v>28</v>
      </c>
      <c r="G488" t="s">
        <v>19</v>
      </c>
      <c r="H488">
        <v>2</v>
      </c>
      <c r="I488">
        <v>0.1</v>
      </c>
      <c r="J488">
        <v>280.60000000000002</v>
      </c>
      <c r="K488">
        <v>11.85</v>
      </c>
    </row>
    <row r="489" spans="1:11" x14ac:dyDescent="0.3">
      <c r="A489" t="s">
        <v>526</v>
      </c>
      <c r="B489" s="1">
        <v>46002</v>
      </c>
      <c r="C489" t="s">
        <v>30</v>
      </c>
      <c r="D489" t="s">
        <v>40</v>
      </c>
      <c r="E489" t="s">
        <v>23</v>
      </c>
      <c r="F489" t="s">
        <v>28</v>
      </c>
      <c r="G489" t="s">
        <v>53</v>
      </c>
      <c r="H489">
        <v>9</v>
      </c>
      <c r="I489">
        <v>0.05</v>
      </c>
      <c r="J489">
        <v>1633.98</v>
      </c>
      <c r="K489">
        <v>136.24</v>
      </c>
    </row>
    <row r="490" spans="1:11" x14ac:dyDescent="0.3">
      <c r="A490" t="s">
        <v>527</v>
      </c>
      <c r="B490" s="1">
        <v>46004</v>
      </c>
      <c r="C490" t="s">
        <v>12</v>
      </c>
      <c r="D490" t="s">
        <v>21</v>
      </c>
      <c r="E490" t="s">
        <v>23</v>
      </c>
      <c r="F490" t="s">
        <v>15</v>
      </c>
      <c r="G490" t="s">
        <v>53</v>
      </c>
      <c r="H490">
        <v>9</v>
      </c>
      <c r="I490">
        <v>0</v>
      </c>
      <c r="J490">
        <v>833.07</v>
      </c>
      <c r="K490">
        <v>202.06</v>
      </c>
    </row>
    <row r="491" spans="1:11" x14ac:dyDescent="0.3">
      <c r="A491" t="s">
        <v>528</v>
      </c>
      <c r="B491" s="1">
        <v>46005</v>
      </c>
      <c r="C491" t="s">
        <v>26</v>
      </c>
      <c r="D491" t="s">
        <v>55</v>
      </c>
      <c r="E491" t="s">
        <v>23</v>
      </c>
      <c r="F491" t="s">
        <v>35</v>
      </c>
      <c r="G491" t="s">
        <v>53</v>
      </c>
      <c r="H491">
        <v>6</v>
      </c>
      <c r="I491">
        <v>0.15</v>
      </c>
      <c r="J491">
        <v>1327.65</v>
      </c>
      <c r="K491">
        <v>39.82</v>
      </c>
    </row>
    <row r="492" spans="1:11" x14ac:dyDescent="0.3">
      <c r="A492" t="s">
        <v>529</v>
      </c>
      <c r="B492" s="1">
        <v>46012</v>
      </c>
      <c r="C492" t="s">
        <v>12</v>
      </c>
      <c r="D492" t="s">
        <v>13</v>
      </c>
      <c r="E492" t="s">
        <v>44</v>
      </c>
      <c r="F492" t="s">
        <v>35</v>
      </c>
      <c r="G492" t="s">
        <v>53</v>
      </c>
      <c r="H492">
        <v>4</v>
      </c>
      <c r="I492">
        <v>0.1</v>
      </c>
      <c r="J492">
        <v>218.17</v>
      </c>
      <c r="K492">
        <v>21.66</v>
      </c>
    </row>
    <row r="493" spans="1:11" x14ac:dyDescent="0.3">
      <c r="A493" t="s">
        <v>530</v>
      </c>
      <c r="B493" s="1">
        <v>46013</v>
      </c>
      <c r="C493" t="s">
        <v>30</v>
      </c>
      <c r="D493" t="s">
        <v>40</v>
      </c>
      <c r="E493" t="s">
        <v>23</v>
      </c>
      <c r="F493" t="s">
        <v>35</v>
      </c>
      <c r="G493" t="s">
        <v>19</v>
      </c>
      <c r="H493">
        <v>6</v>
      </c>
      <c r="I493">
        <v>0.2</v>
      </c>
      <c r="J493">
        <v>682.78</v>
      </c>
      <c r="K493">
        <v>106.42</v>
      </c>
    </row>
    <row r="494" spans="1:11" x14ac:dyDescent="0.3">
      <c r="A494" t="s">
        <v>531</v>
      </c>
      <c r="B494" s="1">
        <v>46014</v>
      </c>
      <c r="C494" t="s">
        <v>12</v>
      </c>
      <c r="D494" t="s">
        <v>46</v>
      </c>
      <c r="E494" t="s">
        <v>44</v>
      </c>
      <c r="F494" t="s">
        <v>15</v>
      </c>
      <c r="G494" t="s">
        <v>32</v>
      </c>
      <c r="H494">
        <v>6</v>
      </c>
      <c r="I494">
        <v>0.1</v>
      </c>
      <c r="J494">
        <v>376.59</v>
      </c>
      <c r="K494">
        <v>5.44</v>
      </c>
    </row>
    <row r="495" spans="1:11" x14ac:dyDescent="0.3">
      <c r="A495" t="s">
        <v>532</v>
      </c>
      <c r="B495" s="1">
        <v>46017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>
        <v>8</v>
      </c>
      <c r="I495">
        <v>0.1</v>
      </c>
      <c r="J495">
        <v>474.28</v>
      </c>
      <c r="K495">
        <v>13.09</v>
      </c>
    </row>
    <row r="496" spans="1:11" x14ac:dyDescent="0.3">
      <c r="A496" t="s">
        <v>533</v>
      </c>
      <c r="B496" s="1">
        <v>46018</v>
      </c>
      <c r="C496" t="s">
        <v>30</v>
      </c>
      <c r="D496" t="s">
        <v>40</v>
      </c>
      <c r="E496" t="s">
        <v>23</v>
      </c>
      <c r="F496" t="s">
        <v>35</v>
      </c>
      <c r="G496" t="s">
        <v>24</v>
      </c>
      <c r="H496">
        <v>3</v>
      </c>
      <c r="I496">
        <v>0.1</v>
      </c>
      <c r="J496">
        <v>106.26</v>
      </c>
      <c r="K496">
        <v>21.89</v>
      </c>
    </row>
    <row r="497" spans="1:11" x14ac:dyDescent="0.3">
      <c r="A497" t="s">
        <v>534</v>
      </c>
      <c r="B497" s="1">
        <v>46018</v>
      </c>
      <c r="C497" t="s">
        <v>26</v>
      </c>
      <c r="D497" t="s">
        <v>55</v>
      </c>
      <c r="E497" t="s">
        <v>14</v>
      </c>
      <c r="F497" t="s">
        <v>28</v>
      </c>
      <c r="G497" t="s">
        <v>47</v>
      </c>
      <c r="H497">
        <v>9</v>
      </c>
      <c r="I497">
        <v>0.05</v>
      </c>
      <c r="J497">
        <v>1502.91</v>
      </c>
      <c r="K497">
        <v>1.42</v>
      </c>
    </row>
    <row r="498" spans="1:11" x14ac:dyDescent="0.3">
      <c r="A498" t="s">
        <v>535</v>
      </c>
      <c r="B498" s="1">
        <v>46018</v>
      </c>
      <c r="C498" t="s">
        <v>30</v>
      </c>
      <c r="D498" t="s">
        <v>31</v>
      </c>
      <c r="E498" t="s">
        <v>18</v>
      </c>
      <c r="F498" t="s">
        <v>35</v>
      </c>
      <c r="G498" t="s">
        <v>24</v>
      </c>
      <c r="H498">
        <v>3</v>
      </c>
      <c r="I498">
        <v>0.15</v>
      </c>
      <c r="J498">
        <v>971.97</v>
      </c>
      <c r="K498">
        <v>109.68</v>
      </c>
    </row>
    <row r="499" spans="1:11" x14ac:dyDescent="0.3">
      <c r="A499" t="s">
        <v>536</v>
      </c>
      <c r="B499" s="1">
        <v>46018</v>
      </c>
      <c r="C499" t="s">
        <v>12</v>
      </c>
      <c r="D499" t="s">
        <v>34</v>
      </c>
      <c r="E499" t="s">
        <v>18</v>
      </c>
      <c r="F499" t="s">
        <v>28</v>
      </c>
      <c r="G499" t="s">
        <v>68</v>
      </c>
      <c r="H499">
        <v>6</v>
      </c>
      <c r="I499">
        <v>0.1</v>
      </c>
      <c r="J499">
        <v>519.25</v>
      </c>
      <c r="K499">
        <v>59.29</v>
      </c>
    </row>
    <row r="500" spans="1:11" x14ac:dyDescent="0.3">
      <c r="A500" t="s">
        <v>537</v>
      </c>
      <c r="B500" s="1">
        <v>46018</v>
      </c>
      <c r="C500" t="s">
        <v>30</v>
      </c>
      <c r="D500" t="s">
        <v>31</v>
      </c>
      <c r="E500" t="s">
        <v>18</v>
      </c>
      <c r="F500" t="s">
        <v>15</v>
      </c>
      <c r="G500" t="s">
        <v>47</v>
      </c>
      <c r="H500">
        <v>3</v>
      </c>
      <c r="I500">
        <v>0.1</v>
      </c>
      <c r="J500">
        <v>626.66</v>
      </c>
      <c r="K500">
        <v>137.35</v>
      </c>
    </row>
    <row r="501" spans="1:11" x14ac:dyDescent="0.3">
      <c r="A501" t="s">
        <v>538</v>
      </c>
      <c r="B501" s="1">
        <v>46022</v>
      </c>
      <c r="C501" t="s">
        <v>26</v>
      </c>
      <c r="D501" t="s">
        <v>55</v>
      </c>
      <c r="E501" t="s">
        <v>14</v>
      </c>
      <c r="F501" t="s">
        <v>15</v>
      </c>
      <c r="G501" t="s">
        <v>53</v>
      </c>
      <c r="H501">
        <v>2</v>
      </c>
      <c r="I501">
        <v>0.15</v>
      </c>
      <c r="J501">
        <v>389.51</v>
      </c>
      <c r="K501">
        <v>51.78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BD2B-D5AB-4ACE-982F-70C0E30B4B4F}">
  <dimension ref="A1:D18"/>
  <sheetViews>
    <sheetView zoomScale="80" zoomScaleNormal="80" workbookViewId="0">
      <selection activeCell="G6" sqref="G6"/>
    </sheetView>
  </sheetViews>
  <sheetFormatPr defaultRowHeight="14.4" x14ac:dyDescent="0.3"/>
  <cols>
    <col min="2" max="2" width="15" bestFit="1" customWidth="1"/>
    <col min="3" max="3" width="17.44140625" bestFit="1" customWidth="1"/>
  </cols>
  <sheetData>
    <row r="1" spans="1:4" ht="25.8" x14ac:dyDescent="0.5">
      <c r="A1" s="3" t="s">
        <v>541</v>
      </c>
    </row>
    <row r="3" spans="1:4" ht="15.6" x14ac:dyDescent="0.3">
      <c r="B3" s="5" t="s">
        <v>539</v>
      </c>
      <c r="C3" s="5" t="s">
        <v>540</v>
      </c>
      <c r="D3" s="4"/>
    </row>
    <row r="4" spans="1:4" x14ac:dyDescent="0.3">
      <c r="B4" s="6" t="s">
        <v>26</v>
      </c>
      <c r="C4" s="6">
        <f>COUNTIF(Raw_Data!C1:C501,Count_Analysis!B4)</f>
        <v>129</v>
      </c>
    </row>
    <row r="5" spans="1:4" x14ac:dyDescent="0.3">
      <c r="B5" s="6" t="s">
        <v>12</v>
      </c>
      <c r="C5" s="6">
        <f>COUNTIF(Raw_Data!C1:C501,Count_Analysis!B5)</f>
        <v>207</v>
      </c>
    </row>
    <row r="6" spans="1:4" x14ac:dyDescent="0.3">
      <c r="B6" s="6" t="s">
        <v>30</v>
      </c>
      <c r="C6" s="6">
        <f>COUNTIF(Raw_Data!C1:C501,Count_Analysis!B6)</f>
        <v>164</v>
      </c>
    </row>
    <row r="8" spans="1:4" x14ac:dyDescent="0.3">
      <c r="B8" s="7" t="s">
        <v>542</v>
      </c>
      <c r="C8" s="8" t="str">
        <f>INDEX(B4:B6,MATCH(MAX(C4:C6),C4:C6,0))</f>
        <v>Office Supplies</v>
      </c>
    </row>
    <row r="9" spans="1:4" x14ac:dyDescent="0.3">
      <c r="B9" s="7" t="s">
        <v>543</v>
      </c>
      <c r="C9" s="8">
        <f>MAX(C4:C6)</f>
        <v>207</v>
      </c>
    </row>
    <row r="12" spans="1:4" ht="25.8" x14ac:dyDescent="0.5">
      <c r="A12" s="3" t="s">
        <v>544</v>
      </c>
    </row>
    <row r="14" spans="1:4" x14ac:dyDescent="0.3">
      <c r="B14" s="9" t="s">
        <v>2</v>
      </c>
      <c r="C14" t="s">
        <v>546</v>
      </c>
    </row>
    <row r="15" spans="1:4" x14ac:dyDescent="0.3">
      <c r="B15" s="10" t="s">
        <v>26</v>
      </c>
      <c r="C15" s="11">
        <v>129</v>
      </c>
    </row>
    <row r="16" spans="1:4" x14ac:dyDescent="0.3">
      <c r="B16" s="10" t="s">
        <v>12</v>
      </c>
      <c r="C16" s="11">
        <v>207</v>
      </c>
    </row>
    <row r="17" spans="2:3" x14ac:dyDescent="0.3">
      <c r="B17" s="10" t="s">
        <v>30</v>
      </c>
      <c r="C17" s="11">
        <v>164</v>
      </c>
    </row>
    <row r="18" spans="2:3" x14ac:dyDescent="0.3">
      <c r="B18" s="10" t="s">
        <v>545</v>
      </c>
      <c r="C18" s="11">
        <v>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Count_Analysis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2026-10-04T06:59:13Z</dcterms:created>
  <dcterms:modified xsi:type="dcterms:W3CDTF">2026-10-04T07:29:00Z</dcterms:modified>
</cp:coreProperties>
</file>