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T intern(DA)\Day - 07\"/>
    </mc:Choice>
  </mc:AlternateContent>
  <xr:revisionPtr revIDLastSave="0" documentId="13_ncr:1_{8F50E170-4A96-4648-BF36-6FCFC0B94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ris_Data" sheetId="1" r:id="rId1"/>
    <sheet name="Summary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8" i="2"/>
  <c r="E3" i="2"/>
  <c r="E4" i="2"/>
  <c r="E2" i="2"/>
  <c r="D3" i="2"/>
  <c r="D4" i="2"/>
  <c r="D2" i="2"/>
  <c r="C3" i="2"/>
  <c r="C4" i="2"/>
  <c r="C2" i="2"/>
  <c r="B3" i="2"/>
  <c r="B4" i="2"/>
  <c r="B2" i="2"/>
</calcChain>
</file>

<file path=xl/sharedStrings.xml><?xml version="1.0" encoding="utf-8"?>
<sst xmlns="http://schemas.openxmlformats.org/spreadsheetml/2006/main" count="116" uniqueCount="26">
  <si>
    <t>Sepal_Length_cm</t>
  </si>
  <si>
    <t>Sepal_Width_cm</t>
  </si>
  <si>
    <t>Petal_Length_cm</t>
  </si>
  <si>
    <t>Petal_Width_cm</t>
  </si>
  <si>
    <t>Species</t>
  </si>
  <si>
    <t>versicolor</t>
  </si>
  <si>
    <t>setosa</t>
  </si>
  <si>
    <t>virginica</t>
  </si>
  <si>
    <t>Avg Sepal Length</t>
  </si>
  <si>
    <t>Avg Sepal Width</t>
  </si>
  <si>
    <t>Avg Petal Length</t>
  </si>
  <si>
    <t>Avg Petal Width</t>
  </si>
  <si>
    <t>COUNT</t>
  </si>
  <si>
    <t>CHARTS</t>
  </si>
  <si>
    <t>Virginica has the highest average petal length, while Setosa has the lowest.</t>
  </si>
  <si>
    <t>Average sepal length generally increases from Setosa to Virginica.</t>
  </si>
  <si>
    <t>Species Distribution</t>
  </si>
  <si>
    <t>The dataset is almost evenly distributed across the three Iris species.</t>
  </si>
  <si>
    <t>Virginica has the greatest average petal width, while Setosa has the smallest.</t>
  </si>
  <si>
    <t>IRIS DATASET- CHART STORY</t>
  </si>
  <si>
    <t>Overall Story</t>
  </si>
  <si>
    <t xml:space="preserve">   Setosa has the smallest average petal measurements, while Virginica has the largest.</t>
  </si>
  <si>
    <t xml:space="preserve">   Average sepal length also increases across the species.</t>
  </si>
  <si>
    <t xml:space="preserve">The Iris dataset shows clear differences among the three species. </t>
  </si>
  <si>
    <t xml:space="preserve">   Overall, petal measurements provide a clear way to observe differences between the Iris species.</t>
  </si>
  <si>
    <t xml:space="preserve">   The dataset is nearly evenly distributed, with 27 Setosa, 26 Versicolor and 26 Virginica observations.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</si>
</sst>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/>
                </a:solidFill>
              </a:rPr>
              <a:t>Average Petal Length by Species</a:t>
            </a:r>
            <a:endParaRPr lang="en-IN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5210229735587344"/>
          <c:w val="0.88389129483814521"/>
          <c:h val="0.73867244162750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Avg Petal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Summary!$D$2:$D$4</c:f>
              <c:numCache>
                <c:formatCode>0.00</c:formatCode>
                <c:ptCount val="3"/>
                <c:pt idx="0">
                  <c:v>1.4518518518518515</c:v>
                </c:pt>
                <c:pt idx="1">
                  <c:v>4.315384615384616</c:v>
                </c:pt>
                <c:pt idx="2">
                  <c:v>5.611538461538462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D-4ECE-A367-378122B53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75"/>
        <c:axId val="2479567"/>
      </c:barChart>
      <c:catAx>
        <c:axId val="693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567"/>
        <c:crosses val="autoZero"/>
        <c:auto val="1"/>
        <c:lblAlgn val="ctr"/>
        <c:lblOffset val="100"/>
        <c:noMultiLvlLbl val="0"/>
      </c:catAx>
      <c:valAx>
        <c:axId val="24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C00000"/>
                </a:solidFill>
              </a:rPr>
              <a:t>Average Sepal Length Across Species</a:t>
            </a:r>
            <a:endParaRPr lang="en-US" sz="1400" b="1" i="0" u="none" strike="noStrike" kern="1200" spc="0" baseline="0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Avg Sepal Length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Summary!$B$2:$B$4</c:f>
              <c:numCache>
                <c:formatCode>0.00</c:formatCode>
                <c:ptCount val="3"/>
                <c:pt idx="0">
                  <c:v>4.9111111111111105</c:v>
                </c:pt>
                <c:pt idx="1">
                  <c:v>6.0346153846153827</c:v>
                </c:pt>
                <c:pt idx="2">
                  <c:v>6.7153846153846164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1-4522-95E9-0057994A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4127"/>
        <c:axId val="2431567"/>
      </c:lineChart>
      <c:catAx>
        <c:axId val="1336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567"/>
        <c:crosses val="autoZero"/>
        <c:auto val="1"/>
        <c:lblAlgn val="ctr"/>
        <c:lblOffset val="100"/>
        <c:noMultiLvlLbl val="0"/>
      </c:catAx>
      <c:valAx>
        <c:axId val="243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Iris Species Distribution</a:t>
            </a:r>
            <a:endParaRPr lang="en-IN" sz="1400" b="1" i="0" u="none" strike="noStrike" kern="1200" spc="0" baseline="0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D4-4F0D-ACDC-C456CF544D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D4-4F0D-ACDC-C456CF544D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D4-4F0D-ACDC-C456CF544DDB}"/>
              </c:ext>
            </c:extLst>
          </c:dPt>
          <c:cat>
            <c:strRef>
              <c:f>Summary!$A$8:$A$10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Summary!$B$8:$B$10</c:f>
              <c:numCache>
                <c:formatCode>General</c:formatCode>
                <c:ptCount val="3"/>
                <c:pt idx="0">
                  <c:v>27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D4-4F0D-ACDC-C456CF544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Average Petal Width by Species</a:t>
            </a:r>
            <a:endParaRPr lang="en-IN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Avg Petal Width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Summary!$E$2:$E$4</c:f>
              <c:numCache>
                <c:formatCode>0.00</c:formatCode>
                <c:ptCount val="3"/>
                <c:pt idx="0">
                  <c:v>0.2592592592592593</c:v>
                </c:pt>
                <c:pt idx="1">
                  <c:v>1.3153846153846156</c:v>
                </c:pt>
                <c:pt idx="2">
                  <c:v>2.0346153846153845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6-4692-B945-188F54862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51120"/>
        <c:axId val="60532400"/>
      </c:barChart>
      <c:catAx>
        <c:axId val="53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2400"/>
        <c:crosses val="autoZero"/>
        <c:auto val="1"/>
        <c:lblAlgn val="ctr"/>
        <c:lblOffset val="100"/>
        <c:noMultiLvlLbl val="0"/>
      </c:catAx>
      <c:valAx>
        <c:axId val="605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/>
                </a:solidFill>
              </a:rPr>
              <a:t>Average Petal Length by Species</a:t>
            </a:r>
            <a:endParaRPr lang="en-IN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5210229735587344"/>
          <c:w val="0.88389129483814521"/>
          <c:h val="0.73867244162750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Avg Petal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Summary!$D$2:$D$4</c:f>
              <c:numCache>
                <c:formatCode>0.00</c:formatCode>
                <c:ptCount val="3"/>
                <c:pt idx="0">
                  <c:v>1.4518518518518515</c:v>
                </c:pt>
                <c:pt idx="1">
                  <c:v>4.315384615384616</c:v>
                </c:pt>
                <c:pt idx="2">
                  <c:v>5.611538461538462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1-4E00-AC86-CC024C92E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0975"/>
        <c:axId val="2479567"/>
      </c:barChart>
      <c:catAx>
        <c:axId val="693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567"/>
        <c:crosses val="autoZero"/>
        <c:auto val="1"/>
        <c:lblAlgn val="ctr"/>
        <c:lblOffset val="100"/>
        <c:noMultiLvlLbl val="0"/>
      </c:catAx>
      <c:valAx>
        <c:axId val="24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C00000"/>
                </a:solidFill>
              </a:rPr>
              <a:t>Average Sepal Length Across Species</a:t>
            </a:r>
            <a:endParaRPr lang="en-US" sz="1400" b="1" i="0" u="none" strike="noStrike" kern="1200" spc="0" baseline="0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Avg Sepal Length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Summary!$B$2:$B$4</c:f>
              <c:numCache>
                <c:formatCode>0.00</c:formatCode>
                <c:ptCount val="3"/>
                <c:pt idx="0">
                  <c:v>4.9111111111111105</c:v>
                </c:pt>
                <c:pt idx="1">
                  <c:v>6.0346153846153827</c:v>
                </c:pt>
                <c:pt idx="2">
                  <c:v>6.7153846153846164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9-49E2-AADA-0121C82C7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4127"/>
        <c:axId val="2431567"/>
      </c:lineChart>
      <c:catAx>
        <c:axId val="1336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1567"/>
        <c:crosses val="autoZero"/>
        <c:auto val="1"/>
        <c:lblAlgn val="ctr"/>
        <c:lblOffset val="100"/>
        <c:noMultiLvlLbl val="0"/>
      </c:catAx>
      <c:valAx>
        <c:axId val="243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Iris Species Distribution</a:t>
            </a:r>
            <a:endParaRPr lang="en-IN" sz="1400" b="1" i="0" u="none" strike="noStrike" kern="1200" spc="0" baseline="0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7E-4D22-B257-D0171B01D8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7E-4D22-B257-D0171B01D8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7E-4D22-B257-D0171B01D8B2}"/>
              </c:ext>
            </c:extLst>
          </c:dPt>
          <c:cat>
            <c:strRef>
              <c:f>Summary!$A$8:$A$10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Summary!$B$8:$B$10</c:f>
              <c:numCache>
                <c:formatCode>General</c:formatCode>
                <c:ptCount val="3"/>
                <c:pt idx="0">
                  <c:v>27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E-4D22-B257-D0171B01D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C00000"/>
                </a:solidFill>
              </a:rPr>
              <a:t>Average Petal Width by Species</a:t>
            </a:r>
            <a:endParaRPr lang="en-IN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Avg Petal Width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Summary!$A$2:$A$4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Summary!$E$2:$E$4</c:f>
              <c:numCache>
                <c:formatCode>0.00</c:formatCode>
                <c:ptCount val="3"/>
                <c:pt idx="0">
                  <c:v>0.2592592592592593</c:v>
                </c:pt>
                <c:pt idx="1">
                  <c:v>1.3153846153846156</c:v>
                </c:pt>
                <c:pt idx="2">
                  <c:v>2.0346153846153845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9-47F2-9C4A-E35A7314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51120"/>
        <c:axId val="60532400"/>
      </c:barChart>
      <c:catAx>
        <c:axId val="5345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2400"/>
        <c:crosses val="autoZero"/>
        <c:auto val="1"/>
        <c:lblAlgn val="ctr"/>
        <c:lblOffset val="100"/>
        <c:noMultiLvlLbl val="0"/>
      </c:catAx>
      <c:valAx>
        <c:axId val="605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13</xdr:row>
      <xdr:rowOff>163830</xdr:rowOff>
    </xdr:from>
    <xdr:to>
      <xdr:col>6</xdr:col>
      <xdr:colOff>15240</xdr:colOff>
      <xdr:row>29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72EE85-6CFA-E0B7-9FF0-E55FCA8B4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14</xdr:row>
      <xdr:rowOff>19050</xdr:rowOff>
    </xdr:from>
    <xdr:to>
      <xdr:col>15</xdr:col>
      <xdr:colOff>0</xdr:colOff>
      <xdr:row>29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3F5286-4262-D8A5-DE67-F2BB1E729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37</xdr:row>
      <xdr:rowOff>76200</xdr:rowOff>
    </xdr:from>
    <xdr:to>
      <xdr:col>6</xdr:col>
      <xdr:colOff>38100</xdr:colOff>
      <xdr:row>52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97DBD7-2B03-49DD-BC13-E7E0295AB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37</xdr:row>
      <xdr:rowOff>91440</xdr:rowOff>
    </xdr:from>
    <xdr:to>
      <xdr:col>15</xdr:col>
      <xdr:colOff>38100</xdr:colOff>
      <xdr:row>52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7CA415-85AF-40FC-A387-E7AF255E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4</xdr:row>
      <xdr:rowOff>163830</xdr:rowOff>
    </xdr:from>
    <xdr:to>
      <xdr:col>7</xdr:col>
      <xdr:colOff>15240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A1F85-0DB0-4F21-BA97-6828B3AB3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5</xdr:row>
      <xdr:rowOff>19050</xdr:rowOff>
    </xdr:from>
    <xdr:to>
      <xdr:col>16</xdr:col>
      <xdr:colOff>0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0420C7-B34C-44F1-880D-423760343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601980</xdr:colOff>
      <xdr:row>28</xdr:row>
      <xdr:rowOff>76200</xdr:rowOff>
    </xdr:from>
    <xdr:to>
      <xdr:col>7</xdr:col>
      <xdr:colOff>38100</xdr:colOff>
      <xdr:row>43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24A3CA-BA82-425B-9B4F-838135964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342900</xdr:colOff>
      <xdr:row>28</xdr:row>
      <xdr:rowOff>91440</xdr:rowOff>
    </xdr:from>
    <xdr:to>
      <xdr:col>16</xdr:col>
      <xdr:colOff>38100</xdr:colOff>
      <xdr:row>43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A606E5-0414-4A72-A0C3-E2F695C17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60" workbookViewId="0">
      <selection activeCell="J84" sqref="J84"/>
    </sheetView>
  </sheetViews>
  <sheetFormatPr defaultRowHeight="14.4" x14ac:dyDescent="0.3"/>
  <cols>
    <col min="1" max="1" width="16" bestFit="1" customWidth="1"/>
    <col min="2" max="2" width="15.33203125" bestFit="1" customWidth="1"/>
    <col min="3" max="3" width="15.6640625" bestFit="1" customWidth="1"/>
    <col min="4" max="4" width="15" bestFit="1" customWidth="1"/>
    <col min="5" max="5" width="11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6.3</v>
      </c>
      <c r="B2">
        <v>3.3</v>
      </c>
      <c r="C2">
        <v>4.7</v>
      </c>
      <c r="D2">
        <v>1.6</v>
      </c>
      <c r="E2" t="s">
        <v>5</v>
      </c>
    </row>
    <row r="3" spans="1:5" x14ac:dyDescent="0.3">
      <c r="A3">
        <v>5.0999999999999996</v>
      </c>
      <c r="B3">
        <v>3.5</v>
      </c>
      <c r="C3">
        <v>1.4</v>
      </c>
      <c r="D3">
        <v>0.2</v>
      </c>
      <c r="E3" t="s">
        <v>6</v>
      </c>
    </row>
    <row r="4" spans="1:5" x14ac:dyDescent="0.3">
      <c r="A4">
        <v>4.5</v>
      </c>
      <c r="B4">
        <v>2.2999999999999998</v>
      </c>
      <c r="C4">
        <v>1.3</v>
      </c>
      <c r="D4">
        <v>0.3</v>
      </c>
      <c r="E4" t="s">
        <v>6</v>
      </c>
    </row>
    <row r="5" spans="1:5" x14ac:dyDescent="0.3">
      <c r="A5">
        <v>6.6</v>
      </c>
      <c r="B5">
        <v>2.9</v>
      </c>
      <c r="C5">
        <v>4.5999999999999996</v>
      </c>
      <c r="D5">
        <v>1.3</v>
      </c>
      <c r="E5" t="s">
        <v>5</v>
      </c>
    </row>
    <row r="6" spans="1:5" x14ac:dyDescent="0.3">
      <c r="A6">
        <v>4.9000000000000004</v>
      </c>
      <c r="B6">
        <v>3.1</v>
      </c>
      <c r="C6">
        <v>1.5</v>
      </c>
      <c r="D6">
        <v>0.2</v>
      </c>
      <c r="E6" t="s">
        <v>6</v>
      </c>
    </row>
    <row r="7" spans="1:5" x14ac:dyDescent="0.3">
      <c r="A7">
        <v>6.9</v>
      </c>
      <c r="B7">
        <v>3.1</v>
      </c>
      <c r="C7">
        <v>4.9000000000000004</v>
      </c>
      <c r="D7">
        <v>1.5</v>
      </c>
      <c r="E7" t="s">
        <v>5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6</v>
      </c>
    </row>
    <row r="9" spans="1:5" x14ac:dyDescent="0.3">
      <c r="A9">
        <v>7.9</v>
      </c>
      <c r="B9">
        <v>3.8</v>
      </c>
      <c r="C9">
        <v>6.4</v>
      </c>
      <c r="D9">
        <v>2</v>
      </c>
      <c r="E9" t="s">
        <v>7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6</v>
      </c>
    </row>
    <row r="11" spans="1:5" x14ac:dyDescent="0.3">
      <c r="A11">
        <v>5.0999999999999996</v>
      </c>
      <c r="B11">
        <v>3.3</v>
      </c>
      <c r="C11">
        <v>1.7</v>
      </c>
      <c r="D11">
        <v>0.5</v>
      </c>
      <c r="E11" t="s">
        <v>6</v>
      </c>
    </row>
    <row r="12" spans="1:5" x14ac:dyDescent="0.3">
      <c r="A12">
        <v>6.1</v>
      </c>
      <c r="B12">
        <v>3</v>
      </c>
      <c r="C12">
        <v>4.5999999999999996</v>
      </c>
      <c r="D12">
        <v>1.4</v>
      </c>
      <c r="E12" t="s">
        <v>5</v>
      </c>
    </row>
    <row r="13" spans="1:5" x14ac:dyDescent="0.3">
      <c r="A13">
        <v>5.9</v>
      </c>
      <c r="B13">
        <v>3</v>
      </c>
      <c r="C13">
        <v>4.2</v>
      </c>
      <c r="D13">
        <v>1.5</v>
      </c>
      <c r="E13" t="s">
        <v>5</v>
      </c>
    </row>
    <row r="14" spans="1:5" x14ac:dyDescent="0.3">
      <c r="A14">
        <v>7.2</v>
      </c>
      <c r="B14">
        <v>3.2</v>
      </c>
      <c r="C14">
        <v>6</v>
      </c>
      <c r="D14">
        <v>1.8</v>
      </c>
      <c r="E14" t="s">
        <v>7</v>
      </c>
    </row>
    <row r="15" spans="1:5" x14ac:dyDescent="0.3">
      <c r="A15">
        <v>6.7</v>
      </c>
      <c r="B15">
        <v>3.1</v>
      </c>
      <c r="C15">
        <v>4.4000000000000004</v>
      </c>
      <c r="D15">
        <v>1.4</v>
      </c>
      <c r="E15" t="s">
        <v>5</v>
      </c>
    </row>
    <row r="16" spans="1:5" x14ac:dyDescent="0.3">
      <c r="A16">
        <v>6.1</v>
      </c>
      <c r="B16">
        <v>3</v>
      </c>
      <c r="C16">
        <v>4.9000000000000004</v>
      </c>
      <c r="D16">
        <v>1.8</v>
      </c>
      <c r="E16" t="s">
        <v>7</v>
      </c>
    </row>
    <row r="17" spans="1:5" x14ac:dyDescent="0.3">
      <c r="A17">
        <v>5.4</v>
      </c>
      <c r="B17">
        <v>3</v>
      </c>
      <c r="C17">
        <v>4.5</v>
      </c>
      <c r="D17">
        <v>1.5</v>
      </c>
      <c r="E17" t="s">
        <v>5</v>
      </c>
    </row>
    <row r="18" spans="1:5" x14ac:dyDescent="0.3">
      <c r="A18">
        <v>6.4</v>
      </c>
      <c r="B18">
        <v>3.1</v>
      </c>
      <c r="C18">
        <v>5.5</v>
      </c>
      <c r="D18">
        <v>1.8</v>
      </c>
      <c r="E18" t="s">
        <v>7</v>
      </c>
    </row>
    <row r="19" spans="1:5" x14ac:dyDescent="0.3">
      <c r="A19">
        <v>5.8</v>
      </c>
      <c r="B19">
        <v>2.8</v>
      </c>
      <c r="C19">
        <v>5.0999999999999996</v>
      </c>
      <c r="D19">
        <v>2.4</v>
      </c>
      <c r="E19" t="s">
        <v>7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7</v>
      </c>
    </row>
    <row r="21" spans="1:5" x14ac:dyDescent="0.3">
      <c r="A21">
        <v>6.4</v>
      </c>
      <c r="B21">
        <v>2.9</v>
      </c>
      <c r="C21">
        <v>4.3</v>
      </c>
      <c r="D21">
        <v>1.3</v>
      </c>
      <c r="E21" t="s">
        <v>5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6</v>
      </c>
    </row>
    <row r="23" spans="1:5" x14ac:dyDescent="0.3">
      <c r="A23">
        <v>6.9</v>
      </c>
      <c r="B23">
        <v>3.2</v>
      </c>
      <c r="C23">
        <v>5.7</v>
      </c>
      <c r="D23">
        <v>2.2999999999999998</v>
      </c>
      <c r="E23" t="s">
        <v>7</v>
      </c>
    </row>
    <row r="24" spans="1:5" x14ac:dyDescent="0.3">
      <c r="A24">
        <v>4.9000000000000004</v>
      </c>
      <c r="B24">
        <v>3.1</v>
      </c>
      <c r="C24">
        <v>1.5</v>
      </c>
      <c r="D24">
        <v>0.1</v>
      </c>
      <c r="E24" t="s">
        <v>6</v>
      </c>
    </row>
    <row r="25" spans="1:5" x14ac:dyDescent="0.3">
      <c r="A25">
        <v>5.6</v>
      </c>
      <c r="B25">
        <v>3</v>
      </c>
      <c r="C25">
        <v>4.0999999999999996</v>
      </c>
      <c r="D25">
        <v>1.3</v>
      </c>
      <c r="E25" t="s">
        <v>5</v>
      </c>
    </row>
    <row r="26" spans="1:5" x14ac:dyDescent="0.3">
      <c r="A26">
        <v>6.1</v>
      </c>
      <c r="B26">
        <v>2.9</v>
      </c>
      <c r="C26">
        <v>4.7</v>
      </c>
      <c r="D26">
        <v>1.4</v>
      </c>
      <c r="E26" t="s">
        <v>5</v>
      </c>
    </row>
    <row r="27" spans="1:5" x14ac:dyDescent="0.3">
      <c r="A27">
        <v>6.5</v>
      </c>
      <c r="B27">
        <v>3</v>
      </c>
      <c r="C27">
        <v>5.5</v>
      </c>
      <c r="D27">
        <v>1.8</v>
      </c>
      <c r="E27" t="s">
        <v>7</v>
      </c>
    </row>
    <row r="28" spans="1:5" x14ac:dyDescent="0.3">
      <c r="A28">
        <v>6</v>
      </c>
      <c r="B28">
        <v>2.9</v>
      </c>
      <c r="C28">
        <v>4.5</v>
      </c>
      <c r="D28">
        <v>1.5</v>
      </c>
      <c r="E28" t="s">
        <v>5</v>
      </c>
    </row>
    <row r="29" spans="1:5" x14ac:dyDescent="0.3">
      <c r="A29">
        <v>6.3</v>
      </c>
      <c r="B29">
        <v>3.3</v>
      </c>
      <c r="C29">
        <v>6</v>
      </c>
      <c r="D29">
        <v>2.5</v>
      </c>
      <c r="E29" t="s">
        <v>7</v>
      </c>
    </row>
    <row r="30" spans="1:5" x14ac:dyDescent="0.3">
      <c r="A30">
        <v>4.8</v>
      </c>
      <c r="B30">
        <v>3.1</v>
      </c>
      <c r="C30">
        <v>1.6</v>
      </c>
      <c r="D30">
        <v>0.2</v>
      </c>
      <c r="E30" t="s">
        <v>6</v>
      </c>
    </row>
    <row r="31" spans="1:5" x14ac:dyDescent="0.3">
      <c r="A31">
        <v>6.1</v>
      </c>
      <c r="B31">
        <v>2.8</v>
      </c>
      <c r="C31">
        <v>4.7</v>
      </c>
      <c r="D31">
        <v>1.2</v>
      </c>
      <c r="E31" t="s">
        <v>5</v>
      </c>
    </row>
    <row r="32" spans="1:5" x14ac:dyDescent="0.3">
      <c r="A32">
        <v>6.5</v>
      </c>
      <c r="B32">
        <v>3</v>
      </c>
      <c r="C32">
        <v>5.8</v>
      </c>
      <c r="D32">
        <v>2.2000000000000002</v>
      </c>
      <c r="E32" t="s">
        <v>7</v>
      </c>
    </row>
    <row r="33" spans="1:5" x14ac:dyDescent="0.3">
      <c r="A33">
        <v>5.9</v>
      </c>
      <c r="B33">
        <v>3</v>
      </c>
      <c r="C33">
        <v>5.0999999999999996</v>
      </c>
      <c r="D33">
        <v>1.8</v>
      </c>
      <c r="E33" t="s">
        <v>7</v>
      </c>
    </row>
    <row r="34" spans="1:5" x14ac:dyDescent="0.3">
      <c r="A34">
        <v>4.3</v>
      </c>
      <c r="B34">
        <v>3</v>
      </c>
      <c r="C34">
        <v>1.1000000000000001</v>
      </c>
      <c r="D34">
        <v>0.1</v>
      </c>
      <c r="E34" t="s">
        <v>6</v>
      </c>
    </row>
    <row r="35" spans="1:5" x14ac:dyDescent="0.3">
      <c r="A35">
        <v>5</v>
      </c>
      <c r="B35">
        <v>2.2999999999999998</v>
      </c>
      <c r="C35">
        <v>3.3</v>
      </c>
      <c r="D35">
        <v>1</v>
      </c>
      <c r="E35" t="s">
        <v>5</v>
      </c>
    </row>
    <row r="36" spans="1:5" x14ac:dyDescent="0.3">
      <c r="A36">
        <v>5.7</v>
      </c>
      <c r="B36">
        <v>2.8</v>
      </c>
      <c r="C36">
        <v>4.0999999999999996</v>
      </c>
      <c r="D36">
        <v>1.3</v>
      </c>
      <c r="E36" t="s">
        <v>5</v>
      </c>
    </row>
    <row r="37" spans="1:5" x14ac:dyDescent="0.3">
      <c r="A37">
        <v>5.5</v>
      </c>
      <c r="B37">
        <v>3.5</v>
      </c>
      <c r="C37">
        <v>1.3</v>
      </c>
      <c r="D37">
        <v>0.2</v>
      </c>
      <c r="E37" t="s">
        <v>6</v>
      </c>
    </row>
    <row r="38" spans="1:5" x14ac:dyDescent="0.3">
      <c r="A38">
        <v>6.7</v>
      </c>
      <c r="B38">
        <v>3.3</v>
      </c>
      <c r="C38">
        <v>5.7</v>
      </c>
      <c r="D38">
        <v>2.1</v>
      </c>
      <c r="E38" t="s">
        <v>7</v>
      </c>
    </row>
    <row r="39" spans="1:5" x14ac:dyDescent="0.3">
      <c r="A39">
        <v>4.5999999999999996</v>
      </c>
      <c r="B39">
        <v>3.2</v>
      </c>
      <c r="C39">
        <v>1.4</v>
      </c>
      <c r="D39">
        <v>0.2</v>
      </c>
      <c r="E39" t="s">
        <v>6</v>
      </c>
    </row>
    <row r="40" spans="1:5" x14ac:dyDescent="0.3">
      <c r="A40">
        <v>5.8</v>
      </c>
      <c r="B40">
        <v>2.7</v>
      </c>
      <c r="C40">
        <v>3.9</v>
      </c>
      <c r="D40">
        <v>1.2</v>
      </c>
      <c r="E40" t="s">
        <v>5</v>
      </c>
    </row>
    <row r="41" spans="1:5" x14ac:dyDescent="0.3">
      <c r="A41">
        <v>4.8</v>
      </c>
      <c r="B41">
        <v>3.4</v>
      </c>
      <c r="C41">
        <v>1.9</v>
      </c>
      <c r="D41">
        <v>0.2</v>
      </c>
      <c r="E41" t="s">
        <v>6</v>
      </c>
    </row>
    <row r="42" spans="1:5" x14ac:dyDescent="0.3">
      <c r="A42">
        <v>6.8</v>
      </c>
      <c r="B42">
        <v>3.2</v>
      </c>
      <c r="C42">
        <v>5.9</v>
      </c>
      <c r="D42">
        <v>2.2999999999999998</v>
      </c>
      <c r="E42" t="s">
        <v>7</v>
      </c>
    </row>
    <row r="43" spans="1:5" x14ac:dyDescent="0.3">
      <c r="A43">
        <v>4.5999999999999996</v>
      </c>
      <c r="B43">
        <v>3.4</v>
      </c>
      <c r="C43">
        <v>1.4</v>
      </c>
      <c r="D43">
        <v>0.3</v>
      </c>
      <c r="E43" t="s">
        <v>6</v>
      </c>
    </row>
    <row r="44" spans="1:5" x14ac:dyDescent="0.3">
      <c r="A44">
        <v>5.2</v>
      </c>
      <c r="B44">
        <v>4.0999999999999996</v>
      </c>
      <c r="C44">
        <v>1.5</v>
      </c>
      <c r="D44">
        <v>0.1</v>
      </c>
      <c r="E44" t="s">
        <v>6</v>
      </c>
    </row>
    <row r="45" spans="1:5" x14ac:dyDescent="0.3">
      <c r="A45">
        <v>6.1</v>
      </c>
      <c r="B45">
        <v>2.8</v>
      </c>
      <c r="C45">
        <v>4</v>
      </c>
      <c r="D45">
        <v>1.3</v>
      </c>
      <c r="E45" t="s">
        <v>5</v>
      </c>
    </row>
    <row r="46" spans="1:5" x14ac:dyDescent="0.3">
      <c r="A46">
        <v>5.7</v>
      </c>
      <c r="B46">
        <v>4.4000000000000004</v>
      </c>
      <c r="C46">
        <v>1.5</v>
      </c>
      <c r="D46">
        <v>0.4</v>
      </c>
      <c r="E46" t="s">
        <v>6</v>
      </c>
    </row>
    <row r="47" spans="1:5" x14ac:dyDescent="0.3">
      <c r="A47">
        <v>7.7</v>
      </c>
      <c r="B47">
        <v>2.8</v>
      </c>
      <c r="C47">
        <v>6.7</v>
      </c>
      <c r="D47">
        <v>2</v>
      </c>
      <c r="E47" t="s">
        <v>7</v>
      </c>
    </row>
    <row r="48" spans="1:5" x14ac:dyDescent="0.3">
      <c r="A48">
        <v>4.8</v>
      </c>
      <c r="B48">
        <v>3.4</v>
      </c>
      <c r="C48">
        <v>1.6</v>
      </c>
      <c r="D48">
        <v>0.2</v>
      </c>
      <c r="E48" t="s">
        <v>6</v>
      </c>
    </row>
    <row r="49" spans="1:5" x14ac:dyDescent="0.3">
      <c r="A49">
        <v>5.8</v>
      </c>
      <c r="B49">
        <v>2.7</v>
      </c>
      <c r="C49">
        <v>4.0999999999999996</v>
      </c>
      <c r="D49">
        <v>1</v>
      </c>
      <c r="E49" t="s">
        <v>5</v>
      </c>
    </row>
    <row r="50" spans="1:5" x14ac:dyDescent="0.3">
      <c r="A50">
        <v>7.7</v>
      </c>
      <c r="B50">
        <v>3</v>
      </c>
      <c r="C50">
        <v>6.1</v>
      </c>
      <c r="D50">
        <v>2.2999999999999998</v>
      </c>
      <c r="E50" t="s">
        <v>7</v>
      </c>
    </row>
    <row r="51" spans="1:5" x14ac:dyDescent="0.3">
      <c r="A51">
        <v>6.7</v>
      </c>
      <c r="B51">
        <v>2.5</v>
      </c>
      <c r="C51">
        <v>5.8</v>
      </c>
      <c r="D51">
        <v>1.8</v>
      </c>
      <c r="E51" t="s">
        <v>7</v>
      </c>
    </row>
    <row r="52" spans="1:5" x14ac:dyDescent="0.3">
      <c r="A52">
        <v>6.7</v>
      </c>
      <c r="B52">
        <v>3.1</v>
      </c>
      <c r="C52">
        <v>4.7</v>
      </c>
      <c r="D52">
        <v>1.5</v>
      </c>
      <c r="E52" t="s">
        <v>5</v>
      </c>
    </row>
    <row r="53" spans="1:5" x14ac:dyDescent="0.3">
      <c r="A53">
        <v>6.5</v>
      </c>
      <c r="B53">
        <v>3</v>
      </c>
      <c r="C53">
        <v>5.2</v>
      </c>
      <c r="D53">
        <v>2</v>
      </c>
      <c r="E53" t="s">
        <v>7</v>
      </c>
    </row>
    <row r="54" spans="1:5" x14ac:dyDescent="0.3">
      <c r="A54">
        <v>5.2</v>
      </c>
      <c r="B54">
        <v>3.4</v>
      </c>
      <c r="C54">
        <v>1.4</v>
      </c>
      <c r="D54">
        <v>0.2</v>
      </c>
      <c r="E54" t="s">
        <v>6</v>
      </c>
    </row>
    <row r="55" spans="1:5" x14ac:dyDescent="0.3">
      <c r="A55">
        <v>7</v>
      </c>
      <c r="B55">
        <v>3.2</v>
      </c>
      <c r="C55">
        <v>4.7</v>
      </c>
      <c r="D55">
        <v>1.4</v>
      </c>
      <c r="E55" t="s">
        <v>5</v>
      </c>
    </row>
    <row r="56" spans="1:5" x14ac:dyDescent="0.3">
      <c r="A56">
        <v>6.8</v>
      </c>
      <c r="B56">
        <v>2.8</v>
      </c>
      <c r="C56">
        <v>4.8</v>
      </c>
      <c r="D56">
        <v>1.4</v>
      </c>
      <c r="E56" t="s">
        <v>5</v>
      </c>
    </row>
    <row r="57" spans="1:5" x14ac:dyDescent="0.3">
      <c r="A57">
        <v>5</v>
      </c>
      <c r="B57">
        <v>3.3</v>
      </c>
      <c r="C57">
        <v>1.4</v>
      </c>
      <c r="D57">
        <v>0.2</v>
      </c>
      <c r="E57" t="s">
        <v>6</v>
      </c>
    </row>
    <row r="58" spans="1:5" x14ac:dyDescent="0.3">
      <c r="A58">
        <v>5.5</v>
      </c>
      <c r="B58">
        <v>2.6</v>
      </c>
      <c r="C58">
        <v>4.4000000000000004</v>
      </c>
      <c r="D58">
        <v>1.2</v>
      </c>
      <c r="E58" t="s">
        <v>5</v>
      </c>
    </row>
    <row r="59" spans="1:5" x14ac:dyDescent="0.3">
      <c r="A59">
        <v>4.8</v>
      </c>
      <c r="B59">
        <v>3</v>
      </c>
      <c r="C59">
        <v>1.4</v>
      </c>
      <c r="D59">
        <v>0.3</v>
      </c>
      <c r="E59" t="s">
        <v>6</v>
      </c>
    </row>
    <row r="60" spans="1:5" x14ac:dyDescent="0.3">
      <c r="A60">
        <v>5.5</v>
      </c>
      <c r="B60">
        <v>2.4</v>
      </c>
      <c r="C60">
        <v>3.8</v>
      </c>
      <c r="D60">
        <v>1.1000000000000001</v>
      </c>
      <c r="E60" t="s">
        <v>5</v>
      </c>
    </row>
    <row r="61" spans="1:5" x14ac:dyDescent="0.3">
      <c r="A61">
        <v>6.7</v>
      </c>
      <c r="B61">
        <v>3</v>
      </c>
      <c r="C61">
        <v>5.2</v>
      </c>
      <c r="D61">
        <v>2.2999999999999998</v>
      </c>
      <c r="E61" t="s">
        <v>7</v>
      </c>
    </row>
    <row r="62" spans="1:5" x14ac:dyDescent="0.3">
      <c r="A62">
        <v>4.9000000000000004</v>
      </c>
      <c r="B62">
        <v>2.5</v>
      </c>
      <c r="C62">
        <v>4.5</v>
      </c>
      <c r="D62">
        <v>1.7</v>
      </c>
      <c r="E62" t="s">
        <v>7</v>
      </c>
    </row>
    <row r="63" spans="1:5" x14ac:dyDescent="0.3">
      <c r="A63">
        <v>5.0999999999999996</v>
      </c>
      <c r="B63">
        <v>3.7</v>
      </c>
      <c r="C63">
        <v>1.5</v>
      </c>
      <c r="D63">
        <v>0.4</v>
      </c>
      <c r="E63" t="s">
        <v>6</v>
      </c>
    </row>
    <row r="64" spans="1:5" x14ac:dyDescent="0.3">
      <c r="A64">
        <v>5.2</v>
      </c>
      <c r="B64">
        <v>2.7</v>
      </c>
      <c r="C64">
        <v>3.9</v>
      </c>
      <c r="D64">
        <v>1.4</v>
      </c>
      <c r="E64" t="s">
        <v>5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7</v>
      </c>
    </row>
    <row r="66" spans="1:5" x14ac:dyDescent="0.3">
      <c r="A66">
        <v>6.5</v>
      </c>
      <c r="B66">
        <v>3.2</v>
      </c>
      <c r="C66">
        <v>5.0999999999999996</v>
      </c>
      <c r="D66">
        <v>2</v>
      </c>
      <c r="E66" t="s">
        <v>7</v>
      </c>
    </row>
    <row r="67" spans="1:5" x14ac:dyDescent="0.3">
      <c r="A67">
        <v>7.7</v>
      </c>
      <c r="B67">
        <v>2.6</v>
      </c>
      <c r="C67">
        <v>6.9</v>
      </c>
      <c r="D67">
        <v>2.2999999999999998</v>
      </c>
      <c r="E67" t="s">
        <v>7</v>
      </c>
    </row>
    <row r="68" spans="1:5" x14ac:dyDescent="0.3">
      <c r="A68">
        <v>7.2</v>
      </c>
      <c r="B68">
        <v>3</v>
      </c>
      <c r="C68">
        <v>5.8</v>
      </c>
      <c r="D68">
        <v>1.6</v>
      </c>
      <c r="E68" t="s">
        <v>7</v>
      </c>
    </row>
    <row r="69" spans="1:5" x14ac:dyDescent="0.3">
      <c r="A69">
        <v>5.6</v>
      </c>
      <c r="B69">
        <v>2.5</v>
      </c>
      <c r="C69">
        <v>3.9</v>
      </c>
      <c r="D69">
        <v>1.1000000000000001</v>
      </c>
      <c r="E69" t="s">
        <v>5</v>
      </c>
    </row>
    <row r="70" spans="1:5" x14ac:dyDescent="0.3">
      <c r="A70">
        <v>6.5</v>
      </c>
      <c r="B70">
        <v>2.8</v>
      </c>
      <c r="C70">
        <v>4.5999999999999996</v>
      </c>
      <c r="D70">
        <v>1.5</v>
      </c>
      <c r="E70" t="s">
        <v>5</v>
      </c>
    </row>
    <row r="71" spans="1:5" x14ac:dyDescent="0.3">
      <c r="A71">
        <v>4.7</v>
      </c>
      <c r="B71">
        <v>3.2</v>
      </c>
      <c r="C71">
        <v>1.3</v>
      </c>
      <c r="D71">
        <v>0.2</v>
      </c>
      <c r="E71" t="s">
        <v>6</v>
      </c>
    </row>
    <row r="72" spans="1:5" x14ac:dyDescent="0.3">
      <c r="A72">
        <v>6.2</v>
      </c>
      <c r="B72">
        <v>2.9</v>
      </c>
      <c r="C72">
        <v>4.3</v>
      </c>
      <c r="D72">
        <v>1.3</v>
      </c>
      <c r="E72" t="s">
        <v>5</v>
      </c>
    </row>
    <row r="73" spans="1:5" x14ac:dyDescent="0.3">
      <c r="A73">
        <v>5</v>
      </c>
      <c r="B73">
        <v>3.5</v>
      </c>
      <c r="C73">
        <v>1.3</v>
      </c>
      <c r="D73">
        <v>0.3</v>
      </c>
      <c r="E73" t="s">
        <v>6</v>
      </c>
    </row>
    <row r="74" spans="1:5" x14ac:dyDescent="0.3">
      <c r="A74">
        <v>5</v>
      </c>
      <c r="B74">
        <v>3.6</v>
      </c>
      <c r="C74">
        <v>1.4</v>
      </c>
      <c r="D74">
        <v>0.2</v>
      </c>
      <c r="E74" t="s">
        <v>6</v>
      </c>
    </row>
    <row r="75" spans="1:5" x14ac:dyDescent="0.3">
      <c r="A75">
        <v>5</v>
      </c>
      <c r="B75">
        <v>3.5</v>
      </c>
      <c r="C75">
        <v>1.6</v>
      </c>
      <c r="D75">
        <v>0.6</v>
      </c>
      <c r="E75" t="s">
        <v>6</v>
      </c>
    </row>
    <row r="76" spans="1:5" x14ac:dyDescent="0.3">
      <c r="A76">
        <v>6.9</v>
      </c>
      <c r="B76">
        <v>3.1</v>
      </c>
      <c r="C76">
        <v>5.4</v>
      </c>
      <c r="D76">
        <v>2.1</v>
      </c>
      <c r="E76" t="s">
        <v>7</v>
      </c>
    </row>
    <row r="77" spans="1:5" x14ac:dyDescent="0.3">
      <c r="A77">
        <v>4.4000000000000004</v>
      </c>
      <c r="B77">
        <v>3</v>
      </c>
      <c r="C77">
        <v>1.3</v>
      </c>
      <c r="D77">
        <v>0.2</v>
      </c>
      <c r="E77" t="s">
        <v>6</v>
      </c>
    </row>
    <row r="78" spans="1:5" x14ac:dyDescent="0.3">
      <c r="A78">
        <v>6.8</v>
      </c>
      <c r="B78">
        <v>3</v>
      </c>
      <c r="C78">
        <v>5.5</v>
      </c>
      <c r="D78">
        <v>2.1</v>
      </c>
      <c r="E78" t="s">
        <v>7</v>
      </c>
    </row>
    <row r="79" spans="1:5" x14ac:dyDescent="0.3">
      <c r="A79">
        <v>6.3</v>
      </c>
      <c r="B79">
        <v>2.8</v>
      </c>
      <c r="C79">
        <v>5.0999999999999996</v>
      </c>
      <c r="D79">
        <v>1.5</v>
      </c>
      <c r="E79" t="s">
        <v>7</v>
      </c>
    </row>
    <row r="80" spans="1:5" x14ac:dyDescent="0.3">
      <c r="A80">
        <v>5</v>
      </c>
      <c r="B80">
        <v>3.4</v>
      </c>
      <c r="C80">
        <v>1.6</v>
      </c>
      <c r="D80">
        <v>0.4</v>
      </c>
      <c r="E80" t="s">
        <v>6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3F2A-C55B-443F-9AF0-DFA09F00A92D}">
  <dimension ref="A1:I54"/>
  <sheetViews>
    <sheetView workbookViewId="0">
      <selection activeCell="A14" sqref="A14:P55"/>
    </sheetView>
  </sheetViews>
  <sheetFormatPr defaultRowHeight="14.4" x14ac:dyDescent="0.3"/>
  <cols>
    <col min="2" max="2" width="14.6640625" bestFit="1" customWidth="1"/>
    <col min="3" max="3" width="14.109375" bestFit="1" customWidth="1"/>
    <col min="4" max="4" width="14.44140625" bestFit="1" customWidth="1"/>
    <col min="5" max="5" width="13.88671875" bestFit="1" customWidth="1"/>
  </cols>
  <sheetData>
    <row r="1" spans="1:5" x14ac:dyDescent="0.3">
      <c r="A1" s="3" t="s">
        <v>4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 x14ac:dyDescent="0.3">
      <c r="A2" s="2" t="s">
        <v>6</v>
      </c>
      <c r="B2" s="5">
        <f>AVERAGEIF(Iris_Data!E2:E81,Summary!A2,Iris_Data!A2:A81)</f>
        <v>4.9111111111111105</v>
      </c>
      <c r="C2" s="5">
        <f>AVERAGEIF(Iris_Data!E2:E81,Summary!A2,Iris_Data!B2:B81)</f>
        <v>3.3555555555555552</v>
      </c>
      <c r="D2" s="5">
        <f>AVERAGEIF(Iris_Data!E2:E81,Summary!A2,Iris_Data!C2:C81)</f>
        <v>1.4518518518518515</v>
      </c>
      <c r="E2" s="5">
        <f>AVERAGEIF(Iris_Data!E2:E81,Summary!A2,Iris_Data!D2:D81)</f>
        <v>0.2592592592592593</v>
      </c>
    </row>
    <row r="3" spans="1:5" x14ac:dyDescent="0.3">
      <c r="A3" t="s">
        <v>5</v>
      </c>
      <c r="B3" s="5">
        <f>AVERAGEIF(Iris_Data!E3:E82,Summary!A3,Iris_Data!A3:A82)</f>
        <v>6.0346153846153827</v>
      </c>
      <c r="C3" s="5">
        <f>AVERAGEIF(Iris_Data!E3:E82,Summary!A3,Iris_Data!B3:B82)</f>
        <v>2.842307692307692</v>
      </c>
      <c r="D3" s="5">
        <f>AVERAGEIF(Iris_Data!E3:E82,Summary!A3,Iris_Data!C3:C82)</f>
        <v>4.315384615384616</v>
      </c>
      <c r="E3" s="5">
        <f>AVERAGEIF(Iris_Data!E3:E82,Summary!A3,Iris_Data!D3:D82)</f>
        <v>1.3153846153846156</v>
      </c>
    </row>
    <row r="4" spans="1:5" x14ac:dyDescent="0.3">
      <c r="A4" t="s">
        <v>7</v>
      </c>
      <c r="B4" s="5">
        <f>AVERAGEIF(Iris_Data!E4:E83,Summary!A4,Iris_Data!A4:A83)</f>
        <v>6.7153846153846164</v>
      </c>
      <c r="C4" s="5">
        <f>AVERAGEIF(Iris_Data!E4:E83,Summary!A4,Iris_Data!B4:B83)</f>
        <v>3.0192307692307687</v>
      </c>
      <c r="D4" s="5">
        <f>AVERAGEIF(Iris_Data!E4:E83,Summary!A4,Iris_Data!C4:C83)</f>
        <v>5.611538461538462</v>
      </c>
      <c r="E4" s="5">
        <f>AVERAGEIF(Iris_Data!E4:E83,Summary!A4,Iris_Data!D4:D83)</f>
        <v>2.0346153846153845</v>
      </c>
    </row>
    <row r="5" spans="1:5" x14ac:dyDescent="0.3">
      <c r="B5" s="5"/>
    </row>
    <row r="7" spans="1:5" x14ac:dyDescent="0.3">
      <c r="A7" s="3" t="s">
        <v>4</v>
      </c>
      <c r="B7" s="4" t="s">
        <v>12</v>
      </c>
    </row>
    <row r="8" spans="1:5" x14ac:dyDescent="0.3">
      <c r="A8" s="2" t="s">
        <v>6</v>
      </c>
      <c r="B8">
        <f>COUNTIF(Iris_Data!E2:E81,Summary!A8)</f>
        <v>27</v>
      </c>
    </row>
    <row r="9" spans="1:5" x14ac:dyDescent="0.3">
      <c r="A9" t="s">
        <v>5</v>
      </c>
      <c r="B9">
        <f>COUNTIF(Iris_Data!E3:E82,Summary!A9)</f>
        <v>26</v>
      </c>
    </row>
    <row r="10" spans="1:5" x14ac:dyDescent="0.3">
      <c r="A10" t="s">
        <v>7</v>
      </c>
      <c r="B10">
        <f>COUNTIF(Iris_Data!E4:E83,Summary!A10)</f>
        <v>26</v>
      </c>
    </row>
    <row r="13" spans="1:5" ht="23.4" x14ac:dyDescent="0.45">
      <c r="B13" s="6" t="s">
        <v>13</v>
      </c>
    </row>
    <row r="32" spans="2:9" x14ac:dyDescent="0.3">
      <c r="B32" s="4" t="s">
        <v>14</v>
      </c>
      <c r="I32" s="4" t="s">
        <v>15</v>
      </c>
    </row>
    <row r="37" spans="2:2" ht="18" x14ac:dyDescent="0.35">
      <c r="B37" s="7" t="s">
        <v>16</v>
      </c>
    </row>
    <row r="54" spans="2:9" x14ac:dyDescent="0.3">
      <c r="B54" s="4" t="s">
        <v>17</v>
      </c>
      <c r="I54" s="4" t="s">
        <v>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18A-637F-4D61-B940-CBDB933A03B4}">
  <dimension ref="B1:J56"/>
  <sheetViews>
    <sheetView topLeftCell="A101" workbookViewId="0">
      <selection activeCell="I59" sqref="I59"/>
    </sheetView>
  </sheetViews>
  <sheetFormatPr defaultRowHeight="14.4" x14ac:dyDescent="0.3"/>
  <sheetData>
    <row r="1" spans="7:8" ht="15.6" customHeight="1" x14ac:dyDescent="0.3"/>
    <row r="2" spans="7:8" ht="15.6" customHeight="1" x14ac:dyDescent="0.5">
      <c r="G2" s="8"/>
    </row>
    <row r="3" spans="7:8" ht="28.8" x14ac:dyDescent="0.55000000000000004">
      <c r="H3" s="9" t="s">
        <v>19</v>
      </c>
    </row>
    <row r="23" spans="3:10" x14ac:dyDescent="0.3">
      <c r="C23" s="4" t="s">
        <v>14</v>
      </c>
      <c r="J23" s="4" t="s">
        <v>15</v>
      </c>
    </row>
    <row r="28" spans="3:10" ht="18" x14ac:dyDescent="0.35">
      <c r="C28" s="7" t="s">
        <v>16</v>
      </c>
    </row>
    <row r="45" spans="3:10" x14ac:dyDescent="0.3">
      <c r="C45" s="4" t="s">
        <v>17</v>
      </c>
      <c r="J45" s="4" t="s">
        <v>18</v>
      </c>
    </row>
    <row r="50" spans="2:2" ht="18" x14ac:dyDescent="0.3">
      <c r="B50" s="12" t="s">
        <v>20</v>
      </c>
    </row>
    <row r="51" spans="2:2" x14ac:dyDescent="0.3">
      <c r="B51" s="10"/>
    </row>
    <row r="52" spans="2:2" x14ac:dyDescent="0.3">
      <c r="B52" s="11" t="s">
        <v>23</v>
      </c>
    </row>
    <row r="53" spans="2:2" x14ac:dyDescent="0.3">
      <c r="B53" s="4" t="s">
        <v>21</v>
      </c>
    </row>
    <row r="54" spans="2:2" x14ac:dyDescent="0.3">
      <c r="B54" s="4" t="s">
        <v>22</v>
      </c>
    </row>
    <row r="55" spans="2:2" x14ac:dyDescent="0.3">
      <c r="B55" s="4" t="s">
        <v>25</v>
      </c>
    </row>
    <row r="56" spans="2:2" x14ac:dyDescent="0.3">
      <c r="B56" s="4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Iris_Data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Poojitha Maddula</cp:lastModifiedBy>
  <dcterms:created xsi:type="dcterms:W3CDTF">2026-09-26T05:29:13Z</dcterms:created>
  <dcterms:modified xsi:type="dcterms:W3CDTF">2026-09-26T06:42:32Z</dcterms:modified>
</cp:coreProperties>
</file>