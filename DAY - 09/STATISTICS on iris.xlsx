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1b4f58b4b7f1fa/Documents/"/>
    </mc:Choice>
  </mc:AlternateContent>
  <xr:revisionPtr revIDLastSave="93" documentId="8_{D72165A4-C2E3-4594-BB39-BE6A5FF84082}" xr6:coauthVersionLast="47" xr6:coauthVersionMax="47" xr10:uidLastSave="{8857FDE0-18E1-4C8C-AC8B-58CDA9CC2187}"/>
  <bookViews>
    <workbookView xWindow="-108" yWindow="-108" windowWidth="23256" windowHeight="12456" activeTab="1" xr2:uid="{6B2D16DB-9D28-49CD-897B-2F3A3D11679A}"/>
  </bookViews>
  <sheets>
    <sheet name="iris_dataset" sheetId="1" r:id="rId1"/>
    <sheet name="Statistic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" l="1"/>
  <c r="D11" i="2"/>
  <c r="C11" i="2"/>
  <c r="B11" i="2"/>
  <c r="E10" i="2"/>
  <c r="D10" i="2"/>
  <c r="C10" i="2"/>
  <c r="B10" i="2"/>
  <c r="E9" i="2"/>
  <c r="E8" i="2"/>
  <c r="E7" i="2"/>
  <c r="C9" i="2"/>
  <c r="C8" i="2"/>
  <c r="B9" i="2"/>
  <c r="B8" i="2"/>
  <c r="B7" i="2"/>
  <c r="D9" i="2"/>
  <c r="D8" i="2"/>
  <c r="D7" i="2"/>
  <c r="C7" i="2"/>
  <c r="E6" i="2"/>
  <c r="D6" i="2"/>
  <c r="C6" i="2"/>
  <c r="B6" i="2"/>
  <c r="E5" i="2"/>
  <c r="C5" i="2"/>
  <c r="D5" i="2"/>
  <c r="B5" i="2"/>
  <c r="E4" i="2"/>
  <c r="D4" i="2"/>
  <c r="C4" i="2"/>
  <c r="B4" i="2"/>
  <c r="E3" i="2"/>
  <c r="D3" i="2"/>
  <c r="C3" i="2"/>
  <c r="B3" i="2"/>
  <c r="E2" i="2"/>
  <c r="D2" i="2"/>
  <c r="C2" i="2"/>
  <c r="B2" i="2"/>
</calcChain>
</file>

<file path=xl/sharedStrings.xml><?xml version="1.0" encoding="utf-8"?>
<sst xmlns="http://schemas.openxmlformats.org/spreadsheetml/2006/main" count="100" uniqueCount="23">
  <si>
    <t>Sepal_Length_cm</t>
  </si>
  <si>
    <t>Sepal_Width_cm</t>
  </si>
  <si>
    <t>Petal_Length_cm</t>
  </si>
  <si>
    <t>Petal_Width_cm</t>
  </si>
  <si>
    <t>Species</t>
  </si>
  <si>
    <t>versicolor</t>
  </si>
  <si>
    <t>setosa</t>
  </si>
  <si>
    <t>virginica</t>
  </si>
  <si>
    <t>Statistic</t>
  </si>
  <si>
    <t>Sepal Length</t>
  </si>
  <si>
    <t>Sepal Width</t>
  </si>
  <si>
    <t>Petal Length</t>
  </si>
  <si>
    <t>Petal Width</t>
  </si>
  <si>
    <t>Mean</t>
  </si>
  <si>
    <t>Median</t>
  </si>
  <si>
    <t>Mode</t>
  </si>
  <si>
    <t>Standard Deviation</t>
  </si>
  <si>
    <t>Minimum</t>
  </si>
  <si>
    <t>25th Percentile</t>
  </si>
  <si>
    <t>50th Percentile</t>
  </si>
  <si>
    <t>75th Percentile</t>
  </si>
  <si>
    <t>Maximum</t>
  </si>
  <si>
    <t>IQR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</si>
</sst>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E5CB0-DE7B-4AB7-9CE7-E038302D0AE3}">
  <dimension ref="A1:E81"/>
  <sheetViews>
    <sheetView topLeftCell="A55" workbookViewId="0">
      <selection activeCell="A2" sqref="A2:A81"/>
    </sheetView>
  </sheetViews>
  <sheetFormatPr defaultRowHeight="14.4" x14ac:dyDescent="0.3"/>
  <cols>
    <col min="1" max="1" width="15" bestFit="1" customWidth="1"/>
    <col min="2" max="2" width="14.33203125" bestFit="1" customWidth="1"/>
    <col min="3" max="3" width="14.6640625" bestFit="1" customWidth="1"/>
    <col min="4" max="4" width="14" bestFit="1" customWidth="1"/>
    <col min="5" max="5" width="11.109375" customWidth="1"/>
  </cols>
  <sheetData>
    <row r="1" spans="1: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>
        <v>6.3</v>
      </c>
      <c r="B2">
        <v>3.3</v>
      </c>
      <c r="C2">
        <v>4.7</v>
      </c>
      <c r="D2">
        <v>1.6</v>
      </c>
      <c r="E2" t="s">
        <v>5</v>
      </c>
    </row>
    <row r="3" spans="1:5" x14ac:dyDescent="0.3">
      <c r="A3">
        <v>5.0999999999999996</v>
      </c>
      <c r="B3">
        <v>3.5</v>
      </c>
      <c r="C3">
        <v>1.4</v>
      </c>
      <c r="D3">
        <v>0.2</v>
      </c>
      <c r="E3" t="s">
        <v>6</v>
      </c>
    </row>
    <row r="4" spans="1:5" x14ac:dyDescent="0.3">
      <c r="A4">
        <v>4.5</v>
      </c>
      <c r="B4">
        <v>2.2999999999999998</v>
      </c>
      <c r="C4">
        <v>1.3</v>
      </c>
      <c r="D4">
        <v>0.3</v>
      </c>
      <c r="E4" t="s">
        <v>6</v>
      </c>
    </row>
    <row r="5" spans="1:5" x14ac:dyDescent="0.3">
      <c r="A5">
        <v>6.6</v>
      </c>
      <c r="B5">
        <v>2.9</v>
      </c>
      <c r="C5">
        <v>4.5999999999999996</v>
      </c>
      <c r="D5">
        <v>1.3</v>
      </c>
      <c r="E5" t="s">
        <v>5</v>
      </c>
    </row>
    <row r="6" spans="1:5" x14ac:dyDescent="0.3">
      <c r="A6">
        <v>4.9000000000000004</v>
      </c>
      <c r="B6">
        <v>3.1</v>
      </c>
      <c r="C6">
        <v>1.5</v>
      </c>
      <c r="D6">
        <v>0.2</v>
      </c>
      <c r="E6" t="s">
        <v>6</v>
      </c>
    </row>
    <row r="7" spans="1:5" x14ac:dyDescent="0.3">
      <c r="A7">
        <v>6.9</v>
      </c>
      <c r="B7">
        <v>3.1</v>
      </c>
      <c r="C7">
        <v>4.9000000000000004</v>
      </c>
      <c r="D7">
        <v>1.5</v>
      </c>
      <c r="E7" t="s">
        <v>5</v>
      </c>
    </row>
    <row r="8" spans="1:5" x14ac:dyDescent="0.3">
      <c r="A8">
        <v>5.0999999999999996</v>
      </c>
      <c r="B8">
        <v>3.8</v>
      </c>
      <c r="C8">
        <v>1.5</v>
      </c>
      <c r="D8">
        <v>0.3</v>
      </c>
      <c r="E8" t="s">
        <v>6</v>
      </c>
    </row>
    <row r="9" spans="1:5" x14ac:dyDescent="0.3">
      <c r="A9">
        <v>7.9</v>
      </c>
      <c r="B9">
        <v>3.8</v>
      </c>
      <c r="C9">
        <v>6.4</v>
      </c>
      <c r="D9">
        <v>2</v>
      </c>
      <c r="E9" t="s">
        <v>7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6</v>
      </c>
    </row>
    <row r="11" spans="1:5" x14ac:dyDescent="0.3">
      <c r="A11">
        <v>5.0999999999999996</v>
      </c>
      <c r="B11">
        <v>3.3</v>
      </c>
      <c r="C11">
        <v>1.7</v>
      </c>
      <c r="D11">
        <v>0.5</v>
      </c>
      <c r="E11" t="s">
        <v>6</v>
      </c>
    </row>
    <row r="12" spans="1:5" x14ac:dyDescent="0.3">
      <c r="A12">
        <v>6.1</v>
      </c>
      <c r="B12">
        <v>3</v>
      </c>
      <c r="C12">
        <v>4.5999999999999996</v>
      </c>
      <c r="D12">
        <v>1.4</v>
      </c>
      <c r="E12" t="s">
        <v>5</v>
      </c>
    </row>
    <row r="13" spans="1:5" x14ac:dyDescent="0.3">
      <c r="A13">
        <v>5.9</v>
      </c>
      <c r="B13">
        <v>3</v>
      </c>
      <c r="C13">
        <v>4.2</v>
      </c>
      <c r="D13">
        <v>1.5</v>
      </c>
      <c r="E13" t="s">
        <v>5</v>
      </c>
    </row>
    <row r="14" spans="1:5" x14ac:dyDescent="0.3">
      <c r="A14">
        <v>7.2</v>
      </c>
      <c r="B14">
        <v>3.2</v>
      </c>
      <c r="C14">
        <v>6</v>
      </c>
      <c r="D14">
        <v>1.8</v>
      </c>
      <c r="E14" t="s">
        <v>7</v>
      </c>
    </row>
    <row r="15" spans="1:5" x14ac:dyDescent="0.3">
      <c r="A15">
        <v>6.7</v>
      </c>
      <c r="B15">
        <v>3.1</v>
      </c>
      <c r="C15">
        <v>4.4000000000000004</v>
      </c>
      <c r="D15">
        <v>1.4</v>
      </c>
      <c r="E15" t="s">
        <v>5</v>
      </c>
    </row>
    <row r="16" spans="1:5" x14ac:dyDescent="0.3">
      <c r="A16">
        <v>6.1</v>
      </c>
      <c r="B16">
        <v>3</v>
      </c>
      <c r="C16">
        <v>4.9000000000000004</v>
      </c>
      <c r="D16">
        <v>1.8</v>
      </c>
      <c r="E16" t="s">
        <v>7</v>
      </c>
    </row>
    <row r="17" spans="1:5" x14ac:dyDescent="0.3">
      <c r="A17">
        <v>5.4</v>
      </c>
      <c r="B17">
        <v>3</v>
      </c>
      <c r="C17">
        <v>4.5</v>
      </c>
      <c r="D17">
        <v>1.5</v>
      </c>
      <c r="E17" t="s">
        <v>5</v>
      </c>
    </row>
    <row r="18" spans="1:5" x14ac:dyDescent="0.3">
      <c r="A18">
        <v>6.4</v>
      </c>
      <c r="B18">
        <v>3.1</v>
      </c>
      <c r="C18">
        <v>5.5</v>
      </c>
      <c r="D18">
        <v>1.8</v>
      </c>
      <c r="E18" t="s">
        <v>7</v>
      </c>
    </row>
    <row r="19" spans="1:5" x14ac:dyDescent="0.3">
      <c r="A19">
        <v>5.8</v>
      </c>
      <c r="B19">
        <v>2.8</v>
      </c>
      <c r="C19">
        <v>5.0999999999999996</v>
      </c>
      <c r="D19">
        <v>2.4</v>
      </c>
      <c r="E19" t="s">
        <v>7</v>
      </c>
    </row>
    <row r="20" spans="1:5" x14ac:dyDescent="0.3">
      <c r="A20">
        <v>7.1</v>
      </c>
      <c r="B20">
        <v>3</v>
      </c>
      <c r="C20">
        <v>5.9</v>
      </c>
      <c r="D20">
        <v>2.1</v>
      </c>
      <c r="E20" t="s">
        <v>7</v>
      </c>
    </row>
    <row r="21" spans="1:5" x14ac:dyDescent="0.3">
      <c r="A21">
        <v>6.4</v>
      </c>
      <c r="B21">
        <v>2.9</v>
      </c>
      <c r="C21">
        <v>4.3</v>
      </c>
      <c r="D21">
        <v>1.3</v>
      </c>
      <c r="E21" t="s">
        <v>5</v>
      </c>
    </row>
    <row r="22" spans="1:5" x14ac:dyDescent="0.3">
      <c r="A22">
        <v>5.0999999999999996</v>
      </c>
      <c r="B22">
        <v>3.5</v>
      </c>
      <c r="C22">
        <v>1.4</v>
      </c>
      <c r="D22">
        <v>0.3</v>
      </c>
      <c r="E22" t="s">
        <v>6</v>
      </c>
    </row>
    <row r="23" spans="1:5" x14ac:dyDescent="0.3">
      <c r="A23">
        <v>6.9</v>
      </c>
      <c r="B23">
        <v>3.2</v>
      </c>
      <c r="C23">
        <v>5.7</v>
      </c>
      <c r="D23">
        <v>2.2999999999999998</v>
      </c>
      <c r="E23" t="s">
        <v>7</v>
      </c>
    </row>
    <row r="24" spans="1:5" x14ac:dyDescent="0.3">
      <c r="A24">
        <v>4.9000000000000004</v>
      </c>
      <c r="B24">
        <v>3.1</v>
      </c>
      <c r="C24">
        <v>1.5</v>
      </c>
      <c r="D24">
        <v>0.1</v>
      </c>
      <c r="E24" t="s">
        <v>6</v>
      </c>
    </row>
    <row r="25" spans="1:5" x14ac:dyDescent="0.3">
      <c r="A25">
        <v>5.6</v>
      </c>
      <c r="B25">
        <v>3</v>
      </c>
      <c r="C25">
        <v>4.0999999999999996</v>
      </c>
      <c r="D25">
        <v>1.3</v>
      </c>
      <c r="E25" t="s">
        <v>5</v>
      </c>
    </row>
    <row r="26" spans="1:5" x14ac:dyDescent="0.3">
      <c r="A26">
        <v>6.1</v>
      </c>
      <c r="B26">
        <v>2.9</v>
      </c>
      <c r="C26">
        <v>4.7</v>
      </c>
      <c r="D26">
        <v>1.4</v>
      </c>
      <c r="E26" t="s">
        <v>5</v>
      </c>
    </row>
    <row r="27" spans="1:5" x14ac:dyDescent="0.3">
      <c r="A27">
        <v>6.5</v>
      </c>
      <c r="B27">
        <v>3</v>
      </c>
      <c r="C27">
        <v>5.5</v>
      </c>
      <c r="D27">
        <v>1.8</v>
      </c>
      <c r="E27" t="s">
        <v>7</v>
      </c>
    </row>
    <row r="28" spans="1:5" x14ac:dyDescent="0.3">
      <c r="A28">
        <v>6</v>
      </c>
      <c r="B28">
        <v>2.9</v>
      </c>
      <c r="C28">
        <v>4.5</v>
      </c>
      <c r="D28">
        <v>1.5</v>
      </c>
      <c r="E28" t="s">
        <v>5</v>
      </c>
    </row>
    <row r="29" spans="1:5" x14ac:dyDescent="0.3">
      <c r="A29">
        <v>6.3</v>
      </c>
      <c r="B29">
        <v>3.3</v>
      </c>
      <c r="C29">
        <v>6</v>
      </c>
      <c r="D29">
        <v>2.5</v>
      </c>
      <c r="E29" t="s">
        <v>7</v>
      </c>
    </row>
    <row r="30" spans="1:5" x14ac:dyDescent="0.3">
      <c r="A30">
        <v>4.8</v>
      </c>
      <c r="B30">
        <v>3.1</v>
      </c>
      <c r="C30">
        <v>1.6</v>
      </c>
      <c r="D30">
        <v>0.2</v>
      </c>
      <c r="E30" t="s">
        <v>6</v>
      </c>
    </row>
    <row r="31" spans="1:5" x14ac:dyDescent="0.3">
      <c r="A31">
        <v>6.1</v>
      </c>
      <c r="B31">
        <v>2.8</v>
      </c>
      <c r="C31">
        <v>4.7</v>
      </c>
      <c r="D31">
        <v>1.2</v>
      </c>
      <c r="E31" t="s">
        <v>5</v>
      </c>
    </row>
    <row r="32" spans="1:5" x14ac:dyDescent="0.3">
      <c r="A32">
        <v>6.5</v>
      </c>
      <c r="B32">
        <v>3</v>
      </c>
      <c r="C32">
        <v>5.8</v>
      </c>
      <c r="D32">
        <v>2.2000000000000002</v>
      </c>
      <c r="E32" t="s">
        <v>7</v>
      </c>
    </row>
    <row r="33" spans="1:5" x14ac:dyDescent="0.3">
      <c r="A33">
        <v>5.9</v>
      </c>
      <c r="B33">
        <v>3</v>
      </c>
      <c r="C33">
        <v>5.0999999999999996</v>
      </c>
      <c r="D33">
        <v>1.8</v>
      </c>
      <c r="E33" t="s">
        <v>7</v>
      </c>
    </row>
    <row r="34" spans="1:5" x14ac:dyDescent="0.3">
      <c r="A34">
        <v>4.3</v>
      </c>
      <c r="B34">
        <v>3</v>
      </c>
      <c r="C34">
        <v>1.1000000000000001</v>
      </c>
      <c r="D34">
        <v>0.1</v>
      </c>
      <c r="E34" t="s">
        <v>6</v>
      </c>
    </row>
    <row r="35" spans="1:5" x14ac:dyDescent="0.3">
      <c r="A35">
        <v>5</v>
      </c>
      <c r="B35">
        <v>2.2999999999999998</v>
      </c>
      <c r="C35">
        <v>3.3</v>
      </c>
      <c r="D35">
        <v>1</v>
      </c>
      <c r="E35" t="s">
        <v>5</v>
      </c>
    </row>
    <row r="36" spans="1:5" x14ac:dyDescent="0.3">
      <c r="A36">
        <v>5.7</v>
      </c>
      <c r="B36">
        <v>2.8</v>
      </c>
      <c r="C36">
        <v>4.0999999999999996</v>
      </c>
      <c r="D36">
        <v>1.3</v>
      </c>
      <c r="E36" t="s">
        <v>5</v>
      </c>
    </row>
    <row r="37" spans="1:5" x14ac:dyDescent="0.3">
      <c r="A37">
        <v>5.5</v>
      </c>
      <c r="B37">
        <v>3.5</v>
      </c>
      <c r="C37">
        <v>1.3</v>
      </c>
      <c r="D37">
        <v>0.2</v>
      </c>
      <c r="E37" t="s">
        <v>6</v>
      </c>
    </row>
    <row r="38" spans="1:5" x14ac:dyDescent="0.3">
      <c r="A38">
        <v>6.7</v>
      </c>
      <c r="B38">
        <v>3.3</v>
      </c>
      <c r="C38">
        <v>5.7</v>
      </c>
      <c r="D38">
        <v>2.1</v>
      </c>
      <c r="E38" t="s">
        <v>7</v>
      </c>
    </row>
    <row r="39" spans="1:5" x14ac:dyDescent="0.3">
      <c r="A39">
        <v>4.5999999999999996</v>
      </c>
      <c r="B39">
        <v>3.2</v>
      </c>
      <c r="C39">
        <v>1.4</v>
      </c>
      <c r="D39">
        <v>0.2</v>
      </c>
      <c r="E39" t="s">
        <v>6</v>
      </c>
    </row>
    <row r="40" spans="1:5" x14ac:dyDescent="0.3">
      <c r="A40">
        <v>5.8</v>
      </c>
      <c r="B40">
        <v>2.7</v>
      </c>
      <c r="C40">
        <v>3.9</v>
      </c>
      <c r="D40">
        <v>1.2</v>
      </c>
      <c r="E40" t="s">
        <v>5</v>
      </c>
    </row>
    <row r="41" spans="1:5" x14ac:dyDescent="0.3">
      <c r="A41">
        <v>4.8</v>
      </c>
      <c r="B41">
        <v>3.4</v>
      </c>
      <c r="C41">
        <v>1.9</v>
      </c>
      <c r="D41">
        <v>0.2</v>
      </c>
      <c r="E41" t="s">
        <v>6</v>
      </c>
    </row>
    <row r="42" spans="1:5" x14ac:dyDescent="0.3">
      <c r="A42">
        <v>6.8</v>
      </c>
      <c r="B42">
        <v>3.2</v>
      </c>
      <c r="C42">
        <v>5.9</v>
      </c>
      <c r="D42">
        <v>2.2999999999999998</v>
      </c>
      <c r="E42" t="s">
        <v>7</v>
      </c>
    </row>
    <row r="43" spans="1:5" x14ac:dyDescent="0.3">
      <c r="A43">
        <v>4.5999999999999996</v>
      </c>
      <c r="B43">
        <v>3.4</v>
      </c>
      <c r="C43">
        <v>1.4</v>
      </c>
      <c r="D43">
        <v>0.3</v>
      </c>
      <c r="E43" t="s">
        <v>6</v>
      </c>
    </row>
    <row r="44" spans="1:5" x14ac:dyDescent="0.3">
      <c r="A44">
        <v>5.2</v>
      </c>
      <c r="B44">
        <v>4.0999999999999996</v>
      </c>
      <c r="C44">
        <v>1.5</v>
      </c>
      <c r="D44">
        <v>0.1</v>
      </c>
      <c r="E44" t="s">
        <v>6</v>
      </c>
    </row>
    <row r="45" spans="1:5" x14ac:dyDescent="0.3">
      <c r="A45">
        <v>6.1</v>
      </c>
      <c r="B45">
        <v>2.8</v>
      </c>
      <c r="C45">
        <v>4</v>
      </c>
      <c r="D45">
        <v>1.3</v>
      </c>
      <c r="E45" t="s">
        <v>5</v>
      </c>
    </row>
    <row r="46" spans="1:5" x14ac:dyDescent="0.3">
      <c r="A46">
        <v>5.7</v>
      </c>
      <c r="B46">
        <v>4.4000000000000004</v>
      </c>
      <c r="C46">
        <v>1.5</v>
      </c>
      <c r="D46">
        <v>0.4</v>
      </c>
      <c r="E46" t="s">
        <v>6</v>
      </c>
    </row>
    <row r="47" spans="1:5" x14ac:dyDescent="0.3">
      <c r="A47">
        <v>7.7</v>
      </c>
      <c r="B47">
        <v>2.8</v>
      </c>
      <c r="C47">
        <v>6.7</v>
      </c>
      <c r="D47">
        <v>2</v>
      </c>
      <c r="E47" t="s">
        <v>7</v>
      </c>
    </row>
    <row r="48" spans="1:5" x14ac:dyDescent="0.3">
      <c r="A48">
        <v>4.8</v>
      </c>
      <c r="B48">
        <v>3.4</v>
      </c>
      <c r="C48">
        <v>1.6</v>
      </c>
      <c r="D48">
        <v>0.2</v>
      </c>
      <c r="E48" t="s">
        <v>6</v>
      </c>
    </row>
    <row r="49" spans="1:5" x14ac:dyDescent="0.3">
      <c r="A49">
        <v>5.8</v>
      </c>
      <c r="B49">
        <v>2.7</v>
      </c>
      <c r="C49">
        <v>4.0999999999999996</v>
      </c>
      <c r="D49">
        <v>1</v>
      </c>
      <c r="E49" t="s">
        <v>5</v>
      </c>
    </row>
    <row r="50" spans="1:5" x14ac:dyDescent="0.3">
      <c r="A50">
        <v>7.7</v>
      </c>
      <c r="B50">
        <v>3</v>
      </c>
      <c r="C50">
        <v>6.1</v>
      </c>
      <c r="D50">
        <v>2.2999999999999998</v>
      </c>
      <c r="E50" t="s">
        <v>7</v>
      </c>
    </row>
    <row r="51" spans="1:5" x14ac:dyDescent="0.3">
      <c r="A51">
        <v>6.7</v>
      </c>
      <c r="B51">
        <v>2.5</v>
      </c>
      <c r="C51">
        <v>5.8</v>
      </c>
      <c r="D51">
        <v>1.8</v>
      </c>
      <c r="E51" t="s">
        <v>7</v>
      </c>
    </row>
    <row r="52" spans="1:5" x14ac:dyDescent="0.3">
      <c r="A52">
        <v>6.7</v>
      </c>
      <c r="B52">
        <v>3.1</v>
      </c>
      <c r="C52">
        <v>4.7</v>
      </c>
      <c r="D52">
        <v>1.5</v>
      </c>
      <c r="E52" t="s">
        <v>5</v>
      </c>
    </row>
    <row r="53" spans="1:5" x14ac:dyDescent="0.3">
      <c r="A53">
        <v>6.5</v>
      </c>
      <c r="B53">
        <v>3</v>
      </c>
      <c r="C53">
        <v>5.2</v>
      </c>
      <c r="D53">
        <v>2</v>
      </c>
      <c r="E53" t="s">
        <v>7</v>
      </c>
    </row>
    <row r="54" spans="1:5" x14ac:dyDescent="0.3">
      <c r="A54">
        <v>5.2</v>
      </c>
      <c r="B54">
        <v>3.4</v>
      </c>
      <c r="C54">
        <v>1.4</v>
      </c>
      <c r="D54">
        <v>0.2</v>
      </c>
      <c r="E54" t="s">
        <v>6</v>
      </c>
    </row>
    <row r="55" spans="1:5" x14ac:dyDescent="0.3">
      <c r="A55">
        <v>7</v>
      </c>
      <c r="B55">
        <v>3.2</v>
      </c>
      <c r="C55">
        <v>4.7</v>
      </c>
      <c r="D55">
        <v>1.4</v>
      </c>
      <c r="E55" t="s">
        <v>5</v>
      </c>
    </row>
    <row r="56" spans="1:5" x14ac:dyDescent="0.3">
      <c r="A56">
        <v>6.8</v>
      </c>
      <c r="B56">
        <v>2.8</v>
      </c>
      <c r="C56">
        <v>4.8</v>
      </c>
      <c r="D56">
        <v>1.4</v>
      </c>
      <c r="E56" t="s">
        <v>5</v>
      </c>
    </row>
    <row r="57" spans="1:5" x14ac:dyDescent="0.3">
      <c r="A57">
        <v>5</v>
      </c>
      <c r="B57">
        <v>3.3</v>
      </c>
      <c r="C57">
        <v>1.4</v>
      </c>
      <c r="D57">
        <v>0.2</v>
      </c>
      <c r="E57" t="s">
        <v>6</v>
      </c>
    </row>
    <row r="58" spans="1:5" x14ac:dyDescent="0.3">
      <c r="A58">
        <v>5.5</v>
      </c>
      <c r="B58">
        <v>2.6</v>
      </c>
      <c r="C58">
        <v>4.4000000000000004</v>
      </c>
      <c r="D58">
        <v>1.2</v>
      </c>
      <c r="E58" t="s">
        <v>5</v>
      </c>
    </row>
    <row r="59" spans="1:5" x14ac:dyDescent="0.3">
      <c r="A59">
        <v>4.8</v>
      </c>
      <c r="B59">
        <v>3</v>
      </c>
      <c r="C59">
        <v>1.4</v>
      </c>
      <c r="D59">
        <v>0.3</v>
      </c>
      <c r="E59" t="s">
        <v>6</v>
      </c>
    </row>
    <row r="60" spans="1:5" x14ac:dyDescent="0.3">
      <c r="A60">
        <v>5.5</v>
      </c>
      <c r="B60">
        <v>2.4</v>
      </c>
      <c r="C60">
        <v>3.8</v>
      </c>
      <c r="D60">
        <v>1.1000000000000001</v>
      </c>
      <c r="E60" t="s">
        <v>5</v>
      </c>
    </row>
    <row r="61" spans="1:5" x14ac:dyDescent="0.3">
      <c r="A61">
        <v>6.7</v>
      </c>
      <c r="B61">
        <v>3</v>
      </c>
      <c r="C61">
        <v>5.2</v>
      </c>
      <c r="D61">
        <v>2.2999999999999998</v>
      </c>
      <c r="E61" t="s">
        <v>7</v>
      </c>
    </row>
    <row r="62" spans="1:5" x14ac:dyDescent="0.3">
      <c r="A62">
        <v>4.9000000000000004</v>
      </c>
      <c r="B62">
        <v>2.5</v>
      </c>
      <c r="C62">
        <v>4.5</v>
      </c>
      <c r="D62">
        <v>1.7</v>
      </c>
      <c r="E62" t="s">
        <v>7</v>
      </c>
    </row>
    <row r="63" spans="1:5" x14ac:dyDescent="0.3">
      <c r="A63">
        <v>5.0999999999999996</v>
      </c>
      <c r="B63">
        <v>3.7</v>
      </c>
      <c r="C63">
        <v>1.5</v>
      </c>
      <c r="D63">
        <v>0.4</v>
      </c>
      <c r="E63" t="s">
        <v>6</v>
      </c>
    </row>
    <row r="64" spans="1:5" x14ac:dyDescent="0.3">
      <c r="A64">
        <v>5.2</v>
      </c>
      <c r="B64">
        <v>2.7</v>
      </c>
      <c r="C64">
        <v>3.9</v>
      </c>
      <c r="D64">
        <v>1.4</v>
      </c>
      <c r="E64" t="s">
        <v>5</v>
      </c>
    </row>
    <row r="65" spans="1:5" x14ac:dyDescent="0.3">
      <c r="A65">
        <v>6.9</v>
      </c>
      <c r="B65">
        <v>3.1</v>
      </c>
      <c r="C65">
        <v>5.0999999999999996</v>
      </c>
      <c r="D65">
        <v>2.2999999999999998</v>
      </c>
      <c r="E65" t="s">
        <v>7</v>
      </c>
    </row>
    <row r="66" spans="1:5" x14ac:dyDescent="0.3">
      <c r="A66">
        <v>6.5</v>
      </c>
      <c r="B66">
        <v>3.2</v>
      </c>
      <c r="C66">
        <v>5.0999999999999996</v>
      </c>
      <c r="D66">
        <v>2</v>
      </c>
      <c r="E66" t="s">
        <v>7</v>
      </c>
    </row>
    <row r="67" spans="1:5" x14ac:dyDescent="0.3">
      <c r="A67">
        <v>7.7</v>
      </c>
      <c r="B67">
        <v>2.6</v>
      </c>
      <c r="C67">
        <v>6.9</v>
      </c>
      <c r="D67">
        <v>2.2999999999999998</v>
      </c>
      <c r="E67" t="s">
        <v>7</v>
      </c>
    </row>
    <row r="68" spans="1:5" x14ac:dyDescent="0.3">
      <c r="A68">
        <v>7.2</v>
      </c>
      <c r="B68">
        <v>3</v>
      </c>
      <c r="C68">
        <v>5.8</v>
      </c>
      <c r="D68">
        <v>1.6</v>
      </c>
      <c r="E68" t="s">
        <v>7</v>
      </c>
    </row>
    <row r="69" spans="1:5" x14ac:dyDescent="0.3">
      <c r="A69">
        <v>5.6</v>
      </c>
      <c r="B69">
        <v>2.5</v>
      </c>
      <c r="C69">
        <v>3.9</v>
      </c>
      <c r="D69">
        <v>1.1000000000000001</v>
      </c>
      <c r="E69" t="s">
        <v>5</v>
      </c>
    </row>
    <row r="70" spans="1:5" x14ac:dyDescent="0.3">
      <c r="A70">
        <v>6.5</v>
      </c>
      <c r="B70">
        <v>2.8</v>
      </c>
      <c r="C70">
        <v>4.5999999999999996</v>
      </c>
      <c r="D70">
        <v>1.5</v>
      </c>
      <c r="E70" t="s">
        <v>5</v>
      </c>
    </row>
    <row r="71" spans="1:5" x14ac:dyDescent="0.3">
      <c r="A71">
        <v>4.7</v>
      </c>
      <c r="B71">
        <v>3.2</v>
      </c>
      <c r="C71">
        <v>1.3</v>
      </c>
      <c r="D71">
        <v>0.2</v>
      </c>
      <c r="E71" t="s">
        <v>6</v>
      </c>
    </row>
    <row r="72" spans="1:5" x14ac:dyDescent="0.3">
      <c r="A72">
        <v>6.2</v>
      </c>
      <c r="B72">
        <v>2.9</v>
      </c>
      <c r="C72">
        <v>4.3</v>
      </c>
      <c r="D72">
        <v>1.3</v>
      </c>
      <c r="E72" t="s">
        <v>5</v>
      </c>
    </row>
    <row r="73" spans="1:5" x14ac:dyDescent="0.3">
      <c r="A73">
        <v>5</v>
      </c>
      <c r="B73">
        <v>3.5</v>
      </c>
      <c r="C73">
        <v>1.3</v>
      </c>
      <c r="D73">
        <v>0.3</v>
      </c>
      <c r="E73" t="s">
        <v>6</v>
      </c>
    </row>
    <row r="74" spans="1:5" x14ac:dyDescent="0.3">
      <c r="A74">
        <v>5</v>
      </c>
      <c r="B74">
        <v>3.6</v>
      </c>
      <c r="C74">
        <v>1.4</v>
      </c>
      <c r="D74">
        <v>0.2</v>
      </c>
      <c r="E74" t="s">
        <v>6</v>
      </c>
    </row>
    <row r="75" spans="1:5" x14ac:dyDescent="0.3">
      <c r="A75">
        <v>5</v>
      </c>
      <c r="B75">
        <v>3.5</v>
      </c>
      <c r="C75">
        <v>1.6</v>
      </c>
      <c r="D75">
        <v>0.6</v>
      </c>
      <c r="E75" t="s">
        <v>6</v>
      </c>
    </row>
    <row r="76" spans="1:5" x14ac:dyDescent="0.3">
      <c r="A76">
        <v>6.9</v>
      </c>
      <c r="B76">
        <v>3.1</v>
      </c>
      <c r="C76">
        <v>5.4</v>
      </c>
      <c r="D76">
        <v>2.1</v>
      </c>
      <c r="E76" t="s">
        <v>7</v>
      </c>
    </row>
    <row r="77" spans="1:5" x14ac:dyDescent="0.3">
      <c r="A77">
        <v>4.4000000000000004</v>
      </c>
      <c r="B77">
        <v>3</v>
      </c>
      <c r="C77">
        <v>1.3</v>
      </c>
      <c r="D77">
        <v>0.2</v>
      </c>
      <c r="E77" t="s">
        <v>6</v>
      </c>
    </row>
    <row r="78" spans="1:5" x14ac:dyDescent="0.3">
      <c r="A78">
        <v>6.8</v>
      </c>
      <c r="B78">
        <v>3</v>
      </c>
      <c r="C78">
        <v>5.5</v>
      </c>
      <c r="D78">
        <v>2.1</v>
      </c>
      <c r="E78" t="s">
        <v>7</v>
      </c>
    </row>
    <row r="79" spans="1:5" x14ac:dyDescent="0.3">
      <c r="A79">
        <v>6.3</v>
      </c>
      <c r="B79">
        <v>2.8</v>
      </c>
      <c r="C79">
        <v>5.0999999999999996</v>
      </c>
      <c r="D79">
        <v>1.5</v>
      </c>
      <c r="E79" t="s">
        <v>7</v>
      </c>
    </row>
    <row r="80" spans="1:5" x14ac:dyDescent="0.3">
      <c r="A80">
        <v>5</v>
      </c>
      <c r="B80">
        <v>3.4</v>
      </c>
      <c r="C80">
        <v>1.6</v>
      </c>
      <c r="D80">
        <v>0.4</v>
      </c>
      <c r="E80" t="s">
        <v>6</v>
      </c>
    </row>
    <row r="81" spans="1:5" x14ac:dyDescent="0.3">
      <c r="A81">
        <v>5.7</v>
      </c>
      <c r="B81">
        <v>3</v>
      </c>
      <c r="C81">
        <v>4.2</v>
      </c>
      <c r="D81">
        <v>1.2</v>
      </c>
      <c r="E8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2A44-3132-46B7-AC51-53042FBBD280}">
  <dimension ref="A1:E11"/>
  <sheetViews>
    <sheetView tabSelected="1" workbookViewId="0">
      <selection activeCell="M8" sqref="M8"/>
    </sheetView>
  </sheetViews>
  <sheetFormatPr defaultRowHeight="14.4" x14ac:dyDescent="0.3"/>
  <cols>
    <col min="1" max="1" width="16.77734375" customWidth="1"/>
    <col min="2" max="2" width="11.5546875" bestFit="1" customWidth="1"/>
    <col min="3" max="3" width="11.109375" bestFit="1" customWidth="1"/>
    <col min="4" max="5" width="11.5546875" bestFit="1" customWidth="1"/>
  </cols>
  <sheetData>
    <row r="1" spans="1:5" s="3" customFormat="1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3">
      <c r="A2" s="2" t="s">
        <v>13</v>
      </c>
      <c r="B2" s="2">
        <f>AVERAGE(iris_dataset!A2:A81)</f>
        <v>5.879999999999999</v>
      </c>
      <c r="C2" s="2">
        <f>AVERAGE(iris_dataset!B2:B81)</f>
        <v>3.0787499999999999</v>
      </c>
      <c r="D2" s="2">
        <f>AVERAGE(iris_dataset!C2:C81)</f>
        <v>3.7750000000000008</v>
      </c>
      <c r="E2" s="2">
        <f>AVERAGE(iris_dataset!D2:D81)</f>
        <v>1.19625</v>
      </c>
    </row>
    <row r="3" spans="1:5" x14ac:dyDescent="0.3">
      <c r="A3" s="2" t="s">
        <v>14</v>
      </c>
      <c r="B3" s="2">
        <f>MEDIAN(iris_dataset!A2:A81)</f>
        <v>5.85</v>
      </c>
      <c r="C3" s="2">
        <f>MEDIAN(iris_dataset!B2:B81)</f>
        <v>3</v>
      </c>
      <c r="D3" s="2">
        <f>MEDIAN(iris_dataset!C2:C81)</f>
        <v>4.3499999999999996</v>
      </c>
      <c r="E3" s="2">
        <f>MEDIAN(iris_dataset!D2:D81)</f>
        <v>1.3</v>
      </c>
    </row>
    <row r="4" spans="1:5" x14ac:dyDescent="0.3">
      <c r="A4" s="2" t="s">
        <v>15</v>
      </c>
      <c r="B4" s="2">
        <f>_xlfn.MODE.SNGL(iris_dataset!A2:A81)</f>
        <v>5</v>
      </c>
      <c r="C4" s="2">
        <f>_xlfn.MODE.SNGL(iris_dataset!B2:B81)</f>
        <v>3</v>
      </c>
      <c r="D4" s="2">
        <f>_xlfn.MODE.SNGL(iris_dataset!C2:C81)</f>
        <v>1.4</v>
      </c>
      <c r="E4" s="2">
        <f>_xlfn.MODE.SNGL(iris_dataset!D2:D81)</f>
        <v>0.2</v>
      </c>
    </row>
    <row r="5" spans="1:5" x14ac:dyDescent="0.3">
      <c r="A5" s="2" t="s">
        <v>16</v>
      </c>
      <c r="B5" s="2">
        <f>_xlfn.STDEV.S(iris_dataset!A2:A81)</f>
        <v>0.90838568733883918</v>
      </c>
      <c r="C5" s="2">
        <f>_xlfn.STDEV.S(iris_dataset!B2:B81)</f>
        <v>0.36860796985827582</v>
      </c>
      <c r="D5" s="2">
        <f>_xlfn.STDEV.S(iris_dataset!C2:C81)</f>
        <v>1.792494902275469</v>
      </c>
      <c r="E5" s="2">
        <f>_xlfn.STDEV.S(iris_dataset!D2:D81)</f>
        <v>0.75648148721983177</v>
      </c>
    </row>
    <row r="6" spans="1:5" x14ac:dyDescent="0.3">
      <c r="A6" s="2" t="s">
        <v>17</v>
      </c>
      <c r="B6" s="2">
        <f>MIN(iris_dataset!A2:A81)</f>
        <v>4.3</v>
      </c>
      <c r="C6" s="2">
        <f>MIN(iris_dataset!B2:B81)</f>
        <v>2.2999999999999998</v>
      </c>
      <c r="D6" s="2">
        <f>MIN(iris_dataset!C2:C81)</f>
        <v>1.1000000000000001</v>
      </c>
      <c r="E6" s="2">
        <f>MIN(iris_dataset!D2:D81)</f>
        <v>0.1</v>
      </c>
    </row>
    <row r="7" spans="1:5" ht="15.6" customHeight="1" x14ac:dyDescent="0.3">
      <c r="A7" s="2" t="s">
        <v>18</v>
      </c>
      <c r="B7" s="2">
        <f>_xlfn.PERCENTILE.INC(iris_dataset!A2:A81,0.25)</f>
        <v>5.0749999999999993</v>
      </c>
      <c r="C7" s="2">
        <f>_xlfn.PERCENTILE.INC(iris_dataset!B2:B81,0.25)</f>
        <v>2.9</v>
      </c>
      <c r="D7" s="2">
        <f>_xlfn.PERCENTILE.INC(iris_dataset!C2:C81,0.25)</f>
        <v>1.5</v>
      </c>
      <c r="E7" s="2">
        <f>_xlfn.PERCENTILE.INC(iris_dataset!D2:D81,0.25)</f>
        <v>0.3</v>
      </c>
    </row>
    <row r="8" spans="1:5" ht="14.4" customHeight="1" x14ac:dyDescent="0.3">
      <c r="A8" s="2" t="s">
        <v>19</v>
      </c>
      <c r="B8" s="2">
        <f>_xlfn.PERCENTILE.INC(iris_dataset!A2:A81,0.5)</f>
        <v>5.85</v>
      </c>
      <c r="C8" s="2">
        <f>_xlfn.PERCENTILE.INC(iris_dataset!B2:B81,0.5)</f>
        <v>3</v>
      </c>
      <c r="D8" s="2">
        <f>_xlfn.PERCENTILE.INC(iris_dataset!C2:C81,0.5)</f>
        <v>4.3499999999999996</v>
      </c>
      <c r="E8" s="2">
        <f>_xlfn.PERCENTILE.INC(iris_dataset!D2:D81,0.5)</f>
        <v>1.3</v>
      </c>
    </row>
    <row r="9" spans="1:5" x14ac:dyDescent="0.3">
      <c r="A9" s="2" t="s">
        <v>20</v>
      </c>
      <c r="B9" s="2">
        <f>_xlfn.PERCENTILE.INC(iris_dataset!A2:A81,0.75)</f>
        <v>6.625</v>
      </c>
      <c r="C9" s="2">
        <f>_xlfn.PERCENTILE.INC(iris_dataset!B2:B81,0.75)</f>
        <v>3.3</v>
      </c>
      <c r="D9" s="2">
        <f>_xlfn.PERCENTILE.INC(iris_dataset!C2:C81,0.75)</f>
        <v>5.0999999999999996</v>
      </c>
      <c r="E9" s="2">
        <f>_xlfn.PERCENTILE.INC(iris_dataset!D2:D81,0.75)</f>
        <v>1.8</v>
      </c>
    </row>
    <row r="10" spans="1:5" x14ac:dyDescent="0.3">
      <c r="A10" s="2" t="s">
        <v>21</v>
      </c>
      <c r="B10" s="2">
        <f>MAX(iris_dataset!A2:A81)</f>
        <v>7.9</v>
      </c>
      <c r="C10" s="2">
        <f>MAX(iris_dataset!B2:B81)</f>
        <v>4.4000000000000004</v>
      </c>
      <c r="D10" s="2">
        <f>MAX(iris_dataset!C2:C81)</f>
        <v>6.9</v>
      </c>
      <c r="E10" s="2">
        <f>MAX(iris_dataset!D2:D81)</f>
        <v>2.5</v>
      </c>
    </row>
    <row r="11" spans="1:5" x14ac:dyDescent="0.3">
      <c r="A11" s="2" t="s">
        <v>22</v>
      </c>
      <c r="B11" s="2">
        <f>B9-B7</f>
        <v>1.5500000000000007</v>
      </c>
      <c r="C11">
        <f>C9-C7</f>
        <v>0.39999999999999991</v>
      </c>
      <c r="D11">
        <f>D9-D7</f>
        <v>3.5999999999999996</v>
      </c>
      <c r="E11">
        <f>E9-E7</f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iris_dataset</vt:lpstr>
      <vt:lpstr>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Poojitha Maddula</dc:creator>
  <cp:lastModifiedBy>Poojitha Maddula</cp:lastModifiedBy>
  <dcterms:created xsi:type="dcterms:W3CDTF">2026-09-28T06:13:46Z</dcterms:created>
  <dcterms:modified xsi:type="dcterms:W3CDTF">2026-09-28T06:48:42Z</dcterms:modified>
</cp:coreProperties>
</file>