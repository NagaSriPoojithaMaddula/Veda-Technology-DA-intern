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T intern(DA)\Day - 10\"/>
    </mc:Choice>
  </mc:AlternateContent>
  <xr:revisionPtr revIDLastSave="0" documentId="13_ncr:1_{B544968A-40DF-4CDA-B5C7-D53B62C97363}" xr6:coauthVersionLast="47" xr6:coauthVersionMax="47" xr10:uidLastSave="{00000000-0000-0000-0000-000000000000}"/>
  <bookViews>
    <workbookView xWindow="-108" yWindow="-108" windowWidth="23256" windowHeight="12456" xr2:uid="{715FCE42-53D4-4BE8-8AF9-EFD78BA44CEA}"/>
  </bookViews>
  <sheets>
    <sheet name="Sales_Data" sheetId="1" r:id="rId1"/>
    <sheet name="KPI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5" i="2"/>
  <c r="C6" i="2"/>
  <c r="E5" i="2" a="1"/>
  <c r="E5" i="2" s="1"/>
  <c r="F5" i="2" s="1"/>
  <c r="C9" i="2" s="1"/>
  <c r="C8" i="2" l="1"/>
  <c r="F12" i="2"/>
  <c r="F10" i="2"/>
  <c r="F7" i="2"/>
  <c r="F16" i="2"/>
  <c r="F11" i="2"/>
  <c r="F8" i="2"/>
  <c r="F18" i="2"/>
  <c r="F17" i="2"/>
  <c r="F15" i="2"/>
  <c r="F14" i="2"/>
  <c r="F9" i="2"/>
  <c r="F19" i="2"/>
  <c r="F6" i="2"/>
  <c r="F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<sst xmlns="http://schemas.openxmlformats.org/spreadsheetml/2006/main" count="217" uniqueCount="100">
  <si>
    <t>Order ID</t>
  </si>
  <si>
    <t>Order Date</t>
  </si>
  <si>
    <t>Product ID</t>
  </si>
  <si>
    <t>Category</t>
  </si>
  <si>
    <t>Product Name</t>
  </si>
  <si>
    <t>Quantity</t>
  </si>
  <si>
    <t>Sales</t>
  </si>
  <si>
    <t>ORD-001</t>
  </si>
  <si>
    <t>P001</t>
  </si>
  <si>
    <t>Technology</t>
  </si>
  <si>
    <t>Laptop</t>
  </si>
  <si>
    <t>ORD-002</t>
  </si>
  <si>
    <t>P002</t>
  </si>
  <si>
    <t>Wireless Mouse</t>
  </si>
  <si>
    <t>ORD-003</t>
  </si>
  <si>
    <t>P003</t>
  </si>
  <si>
    <t>Keyboard</t>
  </si>
  <si>
    <t>ORD-004</t>
  </si>
  <si>
    <t>P004</t>
  </si>
  <si>
    <t>Monitor</t>
  </si>
  <si>
    <t>ORD-005</t>
  </si>
  <si>
    <t>P005</t>
  </si>
  <si>
    <t>Office Supplies</t>
  </si>
  <si>
    <t>Notebook</t>
  </si>
  <si>
    <t>ORD-006</t>
  </si>
  <si>
    <t>P006</t>
  </si>
  <si>
    <t>Ballpoint Pen</t>
  </si>
  <si>
    <t>ORD-007</t>
  </si>
  <si>
    <t>P007</t>
  </si>
  <si>
    <t>Stapler</t>
  </si>
  <si>
    <t>ORD-008</t>
  </si>
  <si>
    <t>P008</t>
  </si>
  <si>
    <t>Printer Paper</t>
  </si>
  <si>
    <t>ORD-009</t>
  </si>
  <si>
    <t>P009</t>
  </si>
  <si>
    <t>Furniture</t>
  </si>
  <si>
    <t>Office Chair</t>
  </si>
  <si>
    <t>ORD-010</t>
  </si>
  <si>
    <t>P010</t>
  </si>
  <si>
    <t>Office Desk</t>
  </si>
  <si>
    <t>ORD-011</t>
  </si>
  <si>
    <t>P011</t>
  </si>
  <si>
    <t>Bookshelf</t>
  </si>
  <si>
    <t>ORD-012</t>
  </si>
  <si>
    <t>P012</t>
  </si>
  <si>
    <t>Filing Cabinet</t>
  </si>
  <si>
    <t>ORD-013</t>
  </si>
  <si>
    <t>ORD-014</t>
  </si>
  <si>
    <t>ORD-015</t>
  </si>
  <si>
    <t>ORD-016</t>
  </si>
  <si>
    <t>ORD-017</t>
  </si>
  <si>
    <t>ORD-018</t>
  </si>
  <si>
    <t>ORD-019</t>
  </si>
  <si>
    <t>ORD-020</t>
  </si>
  <si>
    <t>ORD-021</t>
  </si>
  <si>
    <t>ORD-022</t>
  </si>
  <si>
    <t>ORD-023</t>
  </si>
  <si>
    <t>ORD-024</t>
  </si>
  <si>
    <t>ORD-025</t>
  </si>
  <si>
    <t>P013</t>
  </si>
  <si>
    <t>Tablet</t>
  </si>
  <si>
    <t>ORD-026</t>
  </si>
  <si>
    <t>P014</t>
  </si>
  <si>
    <t>Headphones</t>
  </si>
  <si>
    <t>ORD-027</t>
  </si>
  <si>
    <t>P015</t>
  </si>
  <si>
    <t>USB Drive</t>
  </si>
  <si>
    <t>ORD-028</t>
  </si>
  <si>
    <t>ORD-029</t>
  </si>
  <si>
    <t>ORD-030</t>
  </si>
  <si>
    <t>ORD-031</t>
  </si>
  <si>
    <t>ORD-032</t>
  </si>
  <si>
    <t>ORD-033</t>
  </si>
  <si>
    <t>ORD-034</t>
  </si>
  <si>
    <t>ORD-035</t>
  </si>
  <si>
    <t>ORD-036</t>
  </si>
  <si>
    <t>ORD-037</t>
  </si>
  <si>
    <t>ORD-038</t>
  </si>
  <si>
    <t>ORD-039</t>
  </si>
  <si>
    <t>ORD-040</t>
  </si>
  <si>
    <t>ORD-041</t>
  </si>
  <si>
    <t>ORD-042</t>
  </si>
  <si>
    <t>ORD-043</t>
  </si>
  <si>
    <t>ORD-044</t>
  </si>
  <si>
    <t>ORD-045</t>
  </si>
  <si>
    <t>ORD-046</t>
  </si>
  <si>
    <t>ORD-047</t>
  </si>
  <si>
    <t>ORD-048</t>
  </si>
  <si>
    <t>ORD-049</t>
  </si>
  <si>
    <t>ORD-050</t>
  </si>
  <si>
    <t>KPI</t>
  </si>
  <si>
    <t>Value</t>
  </si>
  <si>
    <t>Total Revenue</t>
  </si>
  <si>
    <t>Units Sold</t>
  </si>
  <si>
    <t>Number of Orders</t>
  </si>
  <si>
    <t>Average Order Value</t>
  </si>
  <si>
    <t>Top Product</t>
  </si>
  <si>
    <t>PRODUCT NAME</t>
  </si>
  <si>
    <t>TOTAL SALES</t>
  </si>
  <si>
    <r>
      <t xml:space="preserve">                 </t>
    </r>
    <r>
      <rPr>
        <b/>
        <sz val="20"/>
        <color rgb="FFFF0000"/>
        <rFont val="Aptos Narrow"/>
        <family val="2"/>
        <scheme val="minor"/>
      </rPr>
      <t xml:space="preserve"> SIMPLE KPI TRACKING SHEET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</si>
</sst>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2" applyNumberFormat="1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2" applyNumberFormat="1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44" fontId="0" fillId="0" borderId="1" xfId="1" applyFont="1" applyBorder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4" fontId="0" fillId="0" borderId="0" xfId="1" applyFont="1" applyBorder="1"/>
  </cellXfs>
  <cellStyles count="3">
    <cellStyle name="Currency" xfId="1" builtinId="4"/>
    <cellStyle name="Normal" xfId="0" builtinId="0"/>
    <cellStyle name="Percent" xfId="2" builtinId="5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1">
                    <a:lumMod val="60000"/>
                    <a:lumOff val="40000"/>
                  </a:schemeClr>
                </a:solidFill>
              </a:rPr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'!$E$5:$E$19</c:f>
              <c:strCache>
                <c:ptCount val="15"/>
                <c:pt idx="0">
                  <c:v>Laptop</c:v>
                </c:pt>
                <c:pt idx="1">
                  <c:v>Wireless Mouse</c:v>
                </c:pt>
                <c:pt idx="2">
                  <c:v>Keyboard</c:v>
                </c:pt>
                <c:pt idx="3">
                  <c:v>Monitor</c:v>
                </c:pt>
                <c:pt idx="4">
                  <c:v>Notebook</c:v>
                </c:pt>
                <c:pt idx="5">
                  <c:v>Ballpoint Pen</c:v>
                </c:pt>
                <c:pt idx="6">
                  <c:v>Stapler</c:v>
                </c:pt>
                <c:pt idx="7">
                  <c:v>Printer Paper</c:v>
                </c:pt>
                <c:pt idx="8">
                  <c:v>Office Chair</c:v>
                </c:pt>
                <c:pt idx="9">
                  <c:v>Office Desk</c:v>
                </c:pt>
                <c:pt idx="10">
                  <c:v>Bookshelf</c:v>
                </c:pt>
                <c:pt idx="11">
                  <c:v>Filing Cabinet</c:v>
                </c:pt>
                <c:pt idx="12">
                  <c:v>Tablet</c:v>
                </c:pt>
                <c:pt idx="13">
                  <c:v>Headphones</c:v>
                </c:pt>
                <c:pt idx="14">
                  <c:v>USB Drive</c:v>
                </c:pt>
              </c:strCache>
            </c:strRef>
          </c:cat>
          <c:val>
            <c:numRef>
              <c:f>'KPI '!$F$5:$F$19</c:f>
              <c:numCache>
                <c:formatCode>_("₹"* #,##0.00_);_("₹"* \(#,##0.00\);_("₹"* "-"??_);_(@_)</c:formatCode>
                <c:ptCount val="15"/>
                <c:pt idx="0">
                  <c:v>3600</c:v>
                </c:pt>
                <c:pt idx="1">
                  <c:v>575</c:v>
                </c:pt>
                <c:pt idx="2">
                  <c:v>480</c:v>
                </c:pt>
                <c:pt idx="3">
                  <c:v>2750</c:v>
                </c:pt>
                <c:pt idx="4">
                  <c:v>560</c:v>
                </c:pt>
                <c:pt idx="5">
                  <c:v>200</c:v>
                </c:pt>
                <c:pt idx="6">
                  <c:v>300</c:v>
                </c:pt>
                <c:pt idx="7">
                  <c:v>560</c:v>
                </c:pt>
                <c:pt idx="8">
                  <c:v>2520</c:v>
                </c:pt>
                <c:pt idx="9">
                  <c:v>3600</c:v>
                </c:pt>
                <c:pt idx="10">
                  <c:v>1080</c:v>
                </c:pt>
                <c:pt idx="11">
                  <c:v>1350</c:v>
                </c:pt>
                <c:pt idx="12">
                  <c:v>3150</c:v>
                </c:pt>
                <c:pt idx="13">
                  <c:v>1400</c:v>
                </c:pt>
                <c:pt idx="1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C-4F2B-AEF7-63A335F69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6057103"/>
        <c:axId val="825115887"/>
      </c:barChart>
      <c:catAx>
        <c:axId val="95605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115887"/>
        <c:crosses val="autoZero"/>
        <c:auto val="1"/>
        <c:lblAlgn val="ctr"/>
        <c:lblOffset val="100"/>
        <c:noMultiLvlLbl val="0"/>
      </c:catAx>
      <c:valAx>
        <c:axId val="82511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05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2</xdr:row>
      <xdr:rowOff>175260</xdr:rowOff>
    </xdr:from>
    <xdr:to>
      <xdr:col>15</xdr:col>
      <xdr:colOff>53340</xdr:colOff>
      <xdr:row>19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390C42-A27B-F146-7EC3-F855E431A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F8D7BF-F06C-43B2-AED4-4143955A7766}" name="Sales_Data" displayName="Sales_Data" ref="A1:G51" totalsRowShown="0">
  <autoFilter ref="A1:G51" xr:uid="{F8F8D7BF-F06C-43B2-AED4-4143955A7766}"/>
  <tableColumns count="7">
    <tableColumn id="1" xr3:uid="{069C894E-E5C4-4D08-94EF-9ECBAFA3E0F5}" name="Order ID"/>
    <tableColumn id="2" xr3:uid="{396852DC-5F17-4DCA-BEAA-47807AEDCBBD}" name="Order Date" dataDxfId="0"/>
    <tableColumn id="3" xr3:uid="{0CA9CC45-B146-4616-8531-79DC044929C6}" name="Product ID"/>
    <tableColumn id="4" xr3:uid="{199AB3D6-1180-4371-8C51-B620BF6F011B}" name="Category"/>
    <tableColumn id="5" xr3:uid="{D967B9A9-936A-4881-9D42-259774E4F532}" name="Product Name"/>
    <tableColumn id="6" xr3:uid="{E7B8E4C2-CD00-476A-ABA0-39596BEF1573}" name="Quantity"/>
    <tableColumn id="7" xr3:uid="{789C201F-3283-4842-BFE1-E3B5AC949BF7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DC88-C96B-45F1-A1DE-A51C9DFBD9F9}">
  <dimension ref="A1:G51"/>
  <sheetViews>
    <sheetView tabSelected="1" workbookViewId="0">
      <selection activeCell="G18" sqref="G18"/>
    </sheetView>
  </sheetViews>
  <sheetFormatPr defaultRowHeight="14.4" x14ac:dyDescent="0.3"/>
  <cols>
    <col min="1" max="1" width="9.77734375" customWidth="1"/>
    <col min="2" max="2" width="11.88671875" customWidth="1"/>
    <col min="3" max="3" width="11.5546875" customWidth="1"/>
    <col min="4" max="4" width="13.109375" bestFit="1" customWidth="1"/>
    <col min="5" max="5" width="14.77734375" customWidth="1"/>
    <col min="6" max="6" width="10" customWidth="1"/>
    <col min="7" max="7" width="7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46266</v>
      </c>
      <c r="C2" t="s">
        <v>8</v>
      </c>
      <c r="D2" t="s">
        <v>9</v>
      </c>
      <c r="E2" t="s">
        <v>10</v>
      </c>
      <c r="F2">
        <v>2</v>
      </c>
      <c r="G2">
        <v>1200</v>
      </c>
    </row>
    <row r="3" spans="1:7" x14ac:dyDescent="0.3">
      <c r="A3" t="s">
        <v>11</v>
      </c>
      <c r="B3" s="1">
        <v>46266</v>
      </c>
      <c r="C3" t="s">
        <v>12</v>
      </c>
      <c r="D3" t="s">
        <v>9</v>
      </c>
      <c r="E3" t="s">
        <v>13</v>
      </c>
      <c r="F3">
        <v>5</v>
      </c>
      <c r="G3">
        <v>125</v>
      </c>
    </row>
    <row r="4" spans="1:7" x14ac:dyDescent="0.3">
      <c r="A4" t="s">
        <v>14</v>
      </c>
      <c r="B4" s="1">
        <v>46267</v>
      </c>
      <c r="C4" t="s">
        <v>15</v>
      </c>
      <c r="D4" t="s">
        <v>9</v>
      </c>
      <c r="E4" t="s">
        <v>16</v>
      </c>
      <c r="F4">
        <v>3</v>
      </c>
      <c r="G4">
        <v>90</v>
      </c>
    </row>
    <row r="5" spans="1:7" x14ac:dyDescent="0.3">
      <c r="A5" t="s">
        <v>17</v>
      </c>
      <c r="B5" s="1">
        <v>46267</v>
      </c>
      <c r="C5" t="s">
        <v>18</v>
      </c>
      <c r="D5" t="s">
        <v>9</v>
      </c>
      <c r="E5" t="s">
        <v>19</v>
      </c>
      <c r="F5">
        <v>2</v>
      </c>
      <c r="G5">
        <v>500</v>
      </c>
    </row>
    <row r="6" spans="1:7" x14ac:dyDescent="0.3">
      <c r="A6" t="s">
        <v>20</v>
      </c>
      <c r="B6" s="1">
        <v>46268</v>
      </c>
      <c r="C6" t="s">
        <v>21</v>
      </c>
      <c r="D6" t="s">
        <v>22</v>
      </c>
      <c r="E6" t="s">
        <v>23</v>
      </c>
      <c r="F6">
        <v>10</v>
      </c>
      <c r="G6">
        <v>80</v>
      </c>
    </row>
    <row r="7" spans="1:7" x14ac:dyDescent="0.3">
      <c r="A7" t="s">
        <v>24</v>
      </c>
      <c r="B7" s="1">
        <v>46268</v>
      </c>
      <c r="C7" t="s">
        <v>25</v>
      </c>
      <c r="D7" t="s">
        <v>22</v>
      </c>
      <c r="E7" t="s">
        <v>26</v>
      </c>
      <c r="F7">
        <v>20</v>
      </c>
      <c r="G7">
        <v>40</v>
      </c>
    </row>
    <row r="8" spans="1:7" x14ac:dyDescent="0.3">
      <c r="A8" t="s">
        <v>27</v>
      </c>
      <c r="B8" s="1">
        <v>46269</v>
      </c>
      <c r="C8" t="s">
        <v>28</v>
      </c>
      <c r="D8" t="s">
        <v>22</v>
      </c>
      <c r="E8" t="s">
        <v>29</v>
      </c>
      <c r="F8">
        <v>4</v>
      </c>
      <c r="G8">
        <v>60</v>
      </c>
    </row>
    <row r="9" spans="1:7" x14ac:dyDescent="0.3">
      <c r="A9" t="s">
        <v>30</v>
      </c>
      <c r="B9" s="1">
        <v>46269</v>
      </c>
      <c r="C9" t="s">
        <v>31</v>
      </c>
      <c r="D9" t="s">
        <v>22</v>
      </c>
      <c r="E9" t="s">
        <v>32</v>
      </c>
      <c r="F9">
        <v>8</v>
      </c>
      <c r="G9">
        <v>64</v>
      </c>
    </row>
    <row r="10" spans="1:7" x14ac:dyDescent="0.3">
      <c r="A10" t="s">
        <v>33</v>
      </c>
      <c r="B10" s="1">
        <v>46270</v>
      </c>
      <c r="C10" t="s">
        <v>34</v>
      </c>
      <c r="D10" t="s">
        <v>35</v>
      </c>
      <c r="E10" t="s">
        <v>36</v>
      </c>
      <c r="F10">
        <v>2</v>
      </c>
      <c r="G10">
        <v>360</v>
      </c>
    </row>
    <row r="11" spans="1:7" x14ac:dyDescent="0.3">
      <c r="A11" t="s">
        <v>37</v>
      </c>
      <c r="B11" s="1">
        <v>46270</v>
      </c>
      <c r="C11" t="s">
        <v>38</v>
      </c>
      <c r="D11" t="s">
        <v>35</v>
      </c>
      <c r="E11" t="s">
        <v>39</v>
      </c>
      <c r="F11">
        <v>1</v>
      </c>
      <c r="G11">
        <v>450</v>
      </c>
    </row>
    <row r="12" spans="1:7" x14ac:dyDescent="0.3">
      <c r="A12" t="s">
        <v>40</v>
      </c>
      <c r="B12" s="1">
        <v>46271</v>
      </c>
      <c r="C12" t="s">
        <v>41</v>
      </c>
      <c r="D12" t="s">
        <v>35</v>
      </c>
      <c r="E12" t="s">
        <v>42</v>
      </c>
      <c r="F12">
        <v>2</v>
      </c>
      <c r="G12">
        <v>240</v>
      </c>
    </row>
    <row r="13" spans="1:7" x14ac:dyDescent="0.3">
      <c r="A13" t="s">
        <v>43</v>
      </c>
      <c r="B13" s="1">
        <v>46271</v>
      </c>
      <c r="C13" t="s">
        <v>44</v>
      </c>
      <c r="D13" t="s">
        <v>35</v>
      </c>
      <c r="E13" t="s">
        <v>45</v>
      </c>
      <c r="F13">
        <v>2</v>
      </c>
      <c r="G13">
        <v>300</v>
      </c>
    </row>
    <row r="14" spans="1:7" x14ac:dyDescent="0.3">
      <c r="A14" t="s">
        <v>46</v>
      </c>
      <c r="B14" s="1">
        <v>46272</v>
      </c>
      <c r="C14" t="s">
        <v>8</v>
      </c>
      <c r="D14" t="s">
        <v>9</v>
      </c>
      <c r="E14" t="s">
        <v>10</v>
      </c>
      <c r="F14">
        <v>1</v>
      </c>
      <c r="G14">
        <v>600</v>
      </c>
    </row>
    <row r="15" spans="1:7" x14ac:dyDescent="0.3">
      <c r="A15" t="s">
        <v>47</v>
      </c>
      <c r="B15" s="1">
        <v>46272</v>
      </c>
      <c r="C15" t="s">
        <v>12</v>
      </c>
      <c r="D15" t="s">
        <v>9</v>
      </c>
      <c r="E15" t="s">
        <v>13</v>
      </c>
      <c r="F15">
        <v>8</v>
      </c>
      <c r="G15">
        <v>200</v>
      </c>
    </row>
    <row r="16" spans="1:7" x14ac:dyDescent="0.3">
      <c r="A16" t="s">
        <v>48</v>
      </c>
      <c r="B16" s="1">
        <v>46273</v>
      </c>
      <c r="C16" t="s">
        <v>15</v>
      </c>
      <c r="D16" t="s">
        <v>9</v>
      </c>
      <c r="E16" t="s">
        <v>16</v>
      </c>
      <c r="F16">
        <v>5</v>
      </c>
      <c r="G16">
        <v>150</v>
      </c>
    </row>
    <row r="17" spans="1:7" x14ac:dyDescent="0.3">
      <c r="A17" t="s">
        <v>49</v>
      </c>
      <c r="B17" s="1">
        <v>46273</v>
      </c>
      <c r="C17" t="s">
        <v>18</v>
      </c>
      <c r="D17" t="s">
        <v>9</v>
      </c>
      <c r="E17" t="s">
        <v>19</v>
      </c>
      <c r="F17">
        <v>3</v>
      </c>
      <c r="G17">
        <v>750</v>
      </c>
    </row>
    <row r="18" spans="1:7" x14ac:dyDescent="0.3">
      <c r="A18" t="s">
        <v>50</v>
      </c>
      <c r="B18" s="1">
        <v>46274</v>
      </c>
      <c r="C18" t="s">
        <v>21</v>
      </c>
      <c r="D18" t="s">
        <v>22</v>
      </c>
      <c r="E18" t="s">
        <v>23</v>
      </c>
      <c r="F18">
        <v>15</v>
      </c>
      <c r="G18">
        <v>120</v>
      </c>
    </row>
    <row r="19" spans="1:7" x14ac:dyDescent="0.3">
      <c r="A19" t="s">
        <v>51</v>
      </c>
      <c r="B19" s="1">
        <v>46274</v>
      </c>
      <c r="C19" t="s">
        <v>25</v>
      </c>
      <c r="D19" t="s">
        <v>22</v>
      </c>
      <c r="E19" t="s">
        <v>26</v>
      </c>
      <c r="F19">
        <v>30</v>
      </c>
      <c r="G19">
        <v>60</v>
      </c>
    </row>
    <row r="20" spans="1:7" x14ac:dyDescent="0.3">
      <c r="A20" t="s">
        <v>52</v>
      </c>
      <c r="B20" s="1">
        <v>46275</v>
      </c>
      <c r="C20" t="s">
        <v>28</v>
      </c>
      <c r="D20" t="s">
        <v>22</v>
      </c>
      <c r="E20" t="s">
        <v>29</v>
      </c>
      <c r="F20">
        <v>6</v>
      </c>
      <c r="G20">
        <v>90</v>
      </c>
    </row>
    <row r="21" spans="1:7" x14ac:dyDescent="0.3">
      <c r="A21" t="s">
        <v>53</v>
      </c>
      <c r="B21" s="1">
        <v>46275</v>
      </c>
      <c r="C21" t="s">
        <v>31</v>
      </c>
      <c r="D21" t="s">
        <v>22</v>
      </c>
      <c r="E21" t="s">
        <v>32</v>
      </c>
      <c r="F21">
        <v>12</v>
      </c>
      <c r="G21">
        <v>96</v>
      </c>
    </row>
    <row r="22" spans="1:7" x14ac:dyDescent="0.3">
      <c r="A22" t="s">
        <v>54</v>
      </c>
      <c r="B22" s="1">
        <v>46276</v>
      </c>
      <c r="C22" t="s">
        <v>34</v>
      </c>
      <c r="D22" t="s">
        <v>35</v>
      </c>
      <c r="E22" t="s">
        <v>36</v>
      </c>
      <c r="F22">
        <v>3</v>
      </c>
      <c r="G22">
        <v>540</v>
      </c>
    </row>
    <row r="23" spans="1:7" x14ac:dyDescent="0.3">
      <c r="A23" t="s">
        <v>55</v>
      </c>
      <c r="B23" s="1">
        <v>46276</v>
      </c>
      <c r="C23" t="s">
        <v>38</v>
      </c>
      <c r="D23" t="s">
        <v>35</v>
      </c>
      <c r="E23" t="s">
        <v>39</v>
      </c>
      <c r="F23">
        <v>2</v>
      </c>
      <c r="G23">
        <v>900</v>
      </c>
    </row>
    <row r="24" spans="1:7" x14ac:dyDescent="0.3">
      <c r="A24" t="s">
        <v>56</v>
      </c>
      <c r="B24" s="1">
        <v>46277</v>
      </c>
      <c r="C24" t="s">
        <v>41</v>
      </c>
      <c r="D24" t="s">
        <v>35</v>
      </c>
      <c r="E24" t="s">
        <v>42</v>
      </c>
      <c r="F24">
        <v>3</v>
      </c>
      <c r="G24">
        <v>360</v>
      </c>
    </row>
    <row r="25" spans="1:7" x14ac:dyDescent="0.3">
      <c r="A25" t="s">
        <v>57</v>
      </c>
      <c r="B25" s="1">
        <v>46277</v>
      </c>
      <c r="C25" t="s">
        <v>44</v>
      </c>
      <c r="D25" t="s">
        <v>35</v>
      </c>
      <c r="E25" t="s">
        <v>45</v>
      </c>
      <c r="F25">
        <v>4</v>
      </c>
      <c r="G25">
        <v>600</v>
      </c>
    </row>
    <row r="26" spans="1:7" x14ac:dyDescent="0.3">
      <c r="A26" t="s">
        <v>58</v>
      </c>
      <c r="B26" s="1">
        <v>46278</v>
      </c>
      <c r="C26" t="s">
        <v>59</v>
      </c>
      <c r="D26" t="s">
        <v>9</v>
      </c>
      <c r="E26" t="s">
        <v>60</v>
      </c>
      <c r="F26">
        <v>2</v>
      </c>
      <c r="G26">
        <v>700</v>
      </c>
    </row>
    <row r="27" spans="1:7" x14ac:dyDescent="0.3">
      <c r="A27" t="s">
        <v>61</v>
      </c>
      <c r="B27" s="1">
        <v>46278</v>
      </c>
      <c r="C27" t="s">
        <v>62</v>
      </c>
      <c r="D27" t="s">
        <v>9</v>
      </c>
      <c r="E27" t="s">
        <v>63</v>
      </c>
      <c r="F27">
        <v>6</v>
      </c>
      <c r="G27">
        <v>300</v>
      </c>
    </row>
    <row r="28" spans="1:7" x14ac:dyDescent="0.3">
      <c r="A28" t="s">
        <v>64</v>
      </c>
      <c r="B28" s="1">
        <v>46279</v>
      </c>
      <c r="C28" t="s">
        <v>65</v>
      </c>
      <c r="D28" t="s">
        <v>9</v>
      </c>
      <c r="E28" t="s">
        <v>66</v>
      </c>
      <c r="F28">
        <v>15</v>
      </c>
      <c r="G28">
        <v>225</v>
      </c>
    </row>
    <row r="29" spans="1:7" x14ac:dyDescent="0.3">
      <c r="A29" t="s">
        <v>67</v>
      </c>
      <c r="B29" s="1">
        <v>46279</v>
      </c>
      <c r="C29" t="s">
        <v>8</v>
      </c>
      <c r="D29" t="s">
        <v>9</v>
      </c>
      <c r="E29" t="s">
        <v>10</v>
      </c>
      <c r="F29">
        <v>2</v>
      </c>
      <c r="G29">
        <v>1200</v>
      </c>
    </row>
    <row r="30" spans="1:7" x14ac:dyDescent="0.3">
      <c r="A30" t="s">
        <v>68</v>
      </c>
      <c r="B30" s="1">
        <v>46280</v>
      </c>
      <c r="C30" t="s">
        <v>21</v>
      </c>
      <c r="D30" t="s">
        <v>22</v>
      </c>
      <c r="E30" t="s">
        <v>23</v>
      </c>
      <c r="F30">
        <v>20</v>
      </c>
      <c r="G30">
        <v>160</v>
      </c>
    </row>
    <row r="31" spans="1:7" x14ac:dyDescent="0.3">
      <c r="A31" t="s">
        <v>69</v>
      </c>
      <c r="B31" s="1">
        <v>46280</v>
      </c>
      <c r="C31" t="s">
        <v>34</v>
      </c>
      <c r="D31" t="s">
        <v>35</v>
      </c>
      <c r="E31" t="s">
        <v>36</v>
      </c>
      <c r="F31">
        <v>4</v>
      </c>
      <c r="G31">
        <v>720</v>
      </c>
    </row>
    <row r="32" spans="1:7" x14ac:dyDescent="0.3">
      <c r="A32" t="s">
        <v>70</v>
      </c>
      <c r="B32" s="1">
        <v>46281</v>
      </c>
      <c r="C32" t="s">
        <v>12</v>
      </c>
      <c r="D32" t="s">
        <v>9</v>
      </c>
      <c r="E32" t="s">
        <v>13</v>
      </c>
      <c r="F32">
        <v>10</v>
      </c>
      <c r="G32">
        <v>250</v>
      </c>
    </row>
    <row r="33" spans="1:7" x14ac:dyDescent="0.3">
      <c r="A33" t="s">
        <v>71</v>
      </c>
      <c r="B33" s="1">
        <v>46281</v>
      </c>
      <c r="C33" t="s">
        <v>15</v>
      </c>
      <c r="D33" t="s">
        <v>9</v>
      </c>
      <c r="E33" t="s">
        <v>16</v>
      </c>
      <c r="F33">
        <v>8</v>
      </c>
      <c r="G33">
        <v>240</v>
      </c>
    </row>
    <row r="34" spans="1:7" x14ac:dyDescent="0.3">
      <c r="A34" t="s">
        <v>72</v>
      </c>
      <c r="B34" s="1">
        <v>46282</v>
      </c>
      <c r="C34" t="s">
        <v>18</v>
      </c>
      <c r="D34" t="s">
        <v>9</v>
      </c>
      <c r="E34" t="s">
        <v>19</v>
      </c>
      <c r="F34">
        <v>4</v>
      </c>
      <c r="G34">
        <v>1000</v>
      </c>
    </row>
    <row r="35" spans="1:7" x14ac:dyDescent="0.3">
      <c r="A35" t="s">
        <v>73</v>
      </c>
      <c r="B35" s="1">
        <v>46282</v>
      </c>
      <c r="C35" t="s">
        <v>25</v>
      </c>
      <c r="D35" t="s">
        <v>22</v>
      </c>
      <c r="E35" t="s">
        <v>26</v>
      </c>
      <c r="F35">
        <v>50</v>
      </c>
      <c r="G35">
        <v>100</v>
      </c>
    </row>
    <row r="36" spans="1:7" x14ac:dyDescent="0.3">
      <c r="A36" t="s">
        <v>74</v>
      </c>
      <c r="B36" s="1">
        <v>46283</v>
      </c>
      <c r="C36" t="s">
        <v>28</v>
      </c>
      <c r="D36" t="s">
        <v>22</v>
      </c>
      <c r="E36" t="s">
        <v>29</v>
      </c>
      <c r="F36">
        <v>10</v>
      </c>
      <c r="G36">
        <v>150</v>
      </c>
    </row>
    <row r="37" spans="1:7" x14ac:dyDescent="0.3">
      <c r="A37" t="s">
        <v>75</v>
      </c>
      <c r="B37" s="1">
        <v>46283</v>
      </c>
      <c r="C37" t="s">
        <v>31</v>
      </c>
      <c r="D37" t="s">
        <v>22</v>
      </c>
      <c r="E37" t="s">
        <v>32</v>
      </c>
      <c r="F37">
        <v>20</v>
      </c>
      <c r="G37">
        <v>160</v>
      </c>
    </row>
    <row r="38" spans="1:7" x14ac:dyDescent="0.3">
      <c r="A38" t="s">
        <v>76</v>
      </c>
      <c r="B38" s="1">
        <v>46284</v>
      </c>
      <c r="C38" t="s">
        <v>38</v>
      </c>
      <c r="D38" t="s">
        <v>35</v>
      </c>
      <c r="E38" t="s">
        <v>39</v>
      </c>
      <c r="F38">
        <v>3</v>
      </c>
      <c r="G38">
        <v>1350</v>
      </c>
    </row>
    <row r="39" spans="1:7" x14ac:dyDescent="0.3">
      <c r="A39" t="s">
        <v>77</v>
      </c>
      <c r="B39" s="1">
        <v>46284</v>
      </c>
      <c r="C39" t="s">
        <v>41</v>
      </c>
      <c r="D39" t="s">
        <v>35</v>
      </c>
      <c r="E39" t="s">
        <v>42</v>
      </c>
      <c r="F39">
        <v>4</v>
      </c>
      <c r="G39">
        <v>480</v>
      </c>
    </row>
    <row r="40" spans="1:7" x14ac:dyDescent="0.3">
      <c r="A40" t="s">
        <v>78</v>
      </c>
      <c r="B40" s="1">
        <v>46285</v>
      </c>
      <c r="C40" t="s">
        <v>44</v>
      </c>
      <c r="D40" t="s">
        <v>35</v>
      </c>
      <c r="E40" t="s">
        <v>45</v>
      </c>
      <c r="F40">
        <v>3</v>
      </c>
      <c r="G40">
        <v>450</v>
      </c>
    </row>
    <row r="41" spans="1:7" x14ac:dyDescent="0.3">
      <c r="A41" t="s">
        <v>79</v>
      </c>
      <c r="B41" s="1">
        <v>46285</v>
      </c>
      <c r="C41" t="s">
        <v>59</v>
      </c>
      <c r="D41" t="s">
        <v>9</v>
      </c>
      <c r="E41" t="s">
        <v>60</v>
      </c>
      <c r="F41">
        <v>3</v>
      </c>
      <c r="G41">
        <v>1050</v>
      </c>
    </row>
    <row r="42" spans="1:7" x14ac:dyDescent="0.3">
      <c r="A42" t="s">
        <v>80</v>
      </c>
      <c r="B42" s="1">
        <v>46286</v>
      </c>
      <c r="C42" t="s">
        <v>62</v>
      </c>
      <c r="D42" t="s">
        <v>9</v>
      </c>
      <c r="E42" t="s">
        <v>63</v>
      </c>
      <c r="F42">
        <v>10</v>
      </c>
      <c r="G42">
        <v>500</v>
      </c>
    </row>
    <row r="43" spans="1:7" x14ac:dyDescent="0.3">
      <c r="A43" t="s">
        <v>81</v>
      </c>
      <c r="B43" s="1">
        <v>46286</v>
      </c>
      <c r="C43" t="s">
        <v>65</v>
      </c>
      <c r="D43" t="s">
        <v>9</v>
      </c>
      <c r="E43" t="s">
        <v>66</v>
      </c>
      <c r="F43">
        <v>25</v>
      </c>
      <c r="G43">
        <v>375</v>
      </c>
    </row>
    <row r="44" spans="1:7" x14ac:dyDescent="0.3">
      <c r="A44" t="s">
        <v>82</v>
      </c>
      <c r="B44" s="1">
        <v>46287</v>
      </c>
      <c r="C44" t="s">
        <v>8</v>
      </c>
      <c r="D44" t="s">
        <v>9</v>
      </c>
      <c r="E44" t="s">
        <v>10</v>
      </c>
      <c r="F44">
        <v>1</v>
      </c>
      <c r="G44">
        <v>600</v>
      </c>
    </row>
    <row r="45" spans="1:7" x14ac:dyDescent="0.3">
      <c r="A45" t="s">
        <v>83</v>
      </c>
      <c r="B45" s="1">
        <v>46287</v>
      </c>
      <c r="C45" t="s">
        <v>18</v>
      </c>
      <c r="D45" t="s">
        <v>9</v>
      </c>
      <c r="E45" t="s">
        <v>19</v>
      </c>
      <c r="F45">
        <v>2</v>
      </c>
      <c r="G45">
        <v>500</v>
      </c>
    </row>
    <row r="46" spans="1:7" x14ac:dyDescent="0.3">
      <c r="A46" t="s">
        <v>84</v>
      </c>
      <c r="B46" s="1">
        <v>46288</v>
      </c>
      <c r="C46" t="s">
        <v>21</v>
      </c>
      <c r="D46" t="s">
        <v>22</v>
      </c>
      <c r="E46" t="s">
        <v>23</v>
      </c>
      <c r="F46">
        <v>25</v>
      </c>
      <c r="G46">
        <v>200</v>
      </c>
    </row>
    <row r="47" spans="1:7" x14ac:dyDescent="0.3">
      <c r="A47" t="s">
        <v>85</v>
      </c>
      <c r="B47" s="1">
        <v>46288</v>
      </c>
      <c r="C47" t="s">
        <v>31</v>
      </c>
      <c r="D47" t="s">
        <v>22</v>
      </c>
      <c r="E47" t="s">
        <v>32</v>
      </c>
      <c r="F47">
        <v>30</v>
      </c>
      <c r="G47">
        <v>240</v>
      </c>
    </row>
    <row r="48" spans="1:7" x14ac:dyDescent="0.3">
      <c r="A48" t="s">
        <v>86</v>
      </c>
      <c r="B48" s="1">
        <v>46289</v>
      </c>
      <c r="C48" t="s">
        <v>34</v>
      </c>
      <c r="D48" t="s">
        <v>35</v>
      </c>
      <c r="E48" t="s">
        <v>36</v>
      </c>
      <c r="F48">
        <v>5</v>
      </c>
      <c r="G48">
        <v>900</v>
      </c>
    </row>
    <row r="49" spans="1:7" x14ac:dyDescent="0.3">
      <c r="A49" t="s">
        <v>87</v>
      </c>
      <c r="B49" s="1">
        <v>46289</v>
      </c>
      <c r="C49" t="s">
        <v>38</v>
      </c>
      <c r="D49" t="s">
        <v>35</v>
      </c>
      <c r="E49" t="s">
        <v>39</v>
      </c>
      <c r="F49">
        <v>2</v>
      </c>
      <c r="G49">
        <v>900</v>
      </c>
    </row>
    <row r="50" spans="1:7" x14ac:dyDescent="0.3">
      <c r="A50" t="s">
        <v>88</v>
      </c>
      <c r="B50" s="1">
        <v>46290</v>
      </c>
      <c r="C50" t="s">
        <v>59</v>
      </c>
      <c r="D50" t="s">
        <v>9</v>
      </c>
      <c r="E50" t="s">
        <v>60</v>
      </c>
      <c r="F50">
        <v>4</v>
      </c>
      <c r="G50">
        <v>1400</v>
      </c>
    </row>
    <row r="51" spans="1:7" x14ac:dyDescent="0.3">
      <c r="A51" t="s">
        <v>89</v>
      </c>
      <c r="B51" s="1">
        <v>46290</v>
      </c>
      <c r="C51" t="s">
        <v>62</v>
      </c>
      <c r="D51" t="s">
        <v>9</v>
      </c>
      <c r="E51" t="s">
        <v>63</v>
      </c>
      <c r="F51">
        <v>12</v>
      </c>
      <c r="G51">
        <v>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B508-C70B-496A-A812-4FF39F900247}">
  <dimension ref="A2:M20"/>
  <sheetViews>
    <sheetView workbookViewId="0">
      <selection activeCell="B18" sqref="B18"/>
    </sheetView>
  </sheetViews>
  <sheetFormatPr defaultRowHeight="14.4" x14ac:dyDescent="0.3"/>
  <cols>
    <col min="1" max="1" width="18.33203125" customWidth="1"/>
    <col min="2" max="2" width="17.5546875" customWidth="1"/>
    <col min="3" max="3" width="11.109375" bestFit="1" customWidth="1"/>
    <col min="5" max="5" width="14.44140625" bestFit="1" customWidth="1"/>
    <col min="6" max="6" width="11.44140625" bestFit="1" customWidth="1"/>
  </cols>
  <sheetData>
    <row r="2" spans="1:13" ht="25.8" x14ac:dyDescent="0.3">
      <c r="A2" s="13" t="s">
        <v>99</v>
      </c>
      <c r="B2" s="14"/>
      <c r="C2" s="14"/>
      <c r="D2" s="14"/>
      <c r="E2" s="14"/>
      <c r="F2" s="14"/>
      <c r="G2" s="14"/>
    </row>
    <row r="3" spans="1:13" x14ac:dyDescent="0.3">
      <c r="A3" s="2"/>
      <c r="B3" s="2"/>
    </row>
    <row r="4" spans="1:13" ht="18" x14ac:dyDescent="0.3">
      <c r="B4" s="9" t="s">
        <v>90</v>
      </c>
      <c r="C4" s="9" t="s">
        <v>91</v>
      </c>
      <c r="E4" s="10" t="s">
        <v>97</v>
      </c>
      <c r="F4" s="10" t="s">
        <v>98</v>
      </c>
    </row>
    <row r="5" spans="1:13" x14ac:dyDescent="0.3">
      <c r="B5" s="6" t="s">
        <v>92</v>
      </c>
      <c r="C5" s="7">
        <f>SUM(Sales_Data[Sales])</f>
        <v>22725</v>
      </c>
      <c r="E5" s="11" t="str" cm="1">
        <f t="array" ref="E5:E19">_xlfn.UNIQUE(Sales_Data[Product Name])</f>
        <v>Laptop</v>
      </c>
      <c r="F5" s="12">
        <f>SUMIF(Sales_Data[Product Name],'KPI '!E5,Sales_Data[Sales])</f>
        <v>3600</v>
      </c>
    </row>
    <row r="6" spans="1:13" x14ac:dyDescent="0.3">
      <c r="B6" s="6" t="s">
        <v>93</v>
      </c>
      <c r="C6" s="6">
        <f>SUM(Sales_Data[Quantity])</f>
        <v>433</v>
      </c>
      <c r="E6" s="11" t="str">
        <v>Wireless Mouse</v>
      </c>
      <c r="F6" s="12">
        <f>SUMIF(Sales_Data[Product Name],'KPI '!E6,Sales_Data[Sales])</f>
        <v>575</v>
      </c>
    </row>
    <row r="7" spans="1:13" x14ac:dyDescent="0.3">
      <c r="B7" s="6" t="s">
        <v>94</v>
      </c>
      <c r="C7" s="6">
        <f>COUNTA(Sales_Data[Order ID])</f>
        <v>50</v>
      </c>
      <c r="E7" s="11" t="str">
        <v>Keyboard</v>
      </c>
      <c r="F7" s="12">
        <f>SUMIF(Sales_Data[Product Name],'KPI '!E7,Sales_Data[Sales])</f>
        <v>480</v>
      </c>
      <c r="L7" s="2"/>
      <c r="M7" s="2"/>
    </row>
    <row r="8" spans="1:13" x14ac:dyDescent="0.3">
      <c r="B8" s="6" t="s">
        <v>95</v>
      </c>
      <c r="C8" s="8">
        <f>C5/C7</f>
        <v>454.5</v>
      </c>
      <c r="E8" s="11" t="str">
        <v>Monitor</v>
      </c>
      <c r="F8" s="12">
        <f>SUMIF(Sales_Data[Product Name],'KPI '!E8,Sales_Data[Sales])</f>
        <v>2750</v>
      </c>
      <c r="L8" s="3"/>
      <c r="M8" s="4"/>
    </row>
    <row r="9" spans="1:13" x14ac:dyDescent="0.3">
      <c r="B9" s="6" t="s">
        <v>96</v>
      </c>
      <c r="C9" s="6" t="str">
        <f>INDEX(E5,MATCH(MAX(F5),F5,0))</f>
        <v>Laptop</v>
      </c>
      <c r="E9" s="11" t="str">
        <v>Notebook</v>
      </c>
      <c r="F9" s="12">
        <f>SUMIF(Sales_Data[Product Name],'KPI '!E9,Sales_Data[Sales])</f>
        <v>560</v>
      </c>
      <c r="L9" s="3"/>
      <c r="M9" s="3"/>
    </row>
    <row r="10" spans="1:13" x14ac:dyDescent="0.3">
      <c r="E10" s="11" t="str">
        <v>Ballpoint Pen</v>
      </c>
      <c r="F10" s="12">
        <f>SUMIF(Sales_Data[Product Name],'KPI '!E10,Sales_Data[Sales])</f>
        <v>200</v>
      </c>
      <c r="L10" s="3"/>
      <c r="M10" s="3"/>
    </row>
    <row r="11" spans="1:13" x14ac:dyDescent="0.3">
      <c r="E11" s="11" t="str">
        <v>Stapler</v>
      </c>
      <c r="F11" s="12">
        <f>SUMIF(Sales_Data[Product Name],'KPI '!E11,Sales_Data[Sales])</f>
        <v>300</v>
      </c>
      <c r="L11" s="3"/>
      <c r="M11" s="5"/>
    </row>
    <row r="12" spans="1:13" x14ac:dyDescent="0.3">
      <c r="E12" s="11" t="str">
        <v>Printer Paper</v>
      </c>
      <c r="F12" s="12">
        <f>SUMIF(Sales_Data[Product Name],'KPI '!E12,Sales_Data[Sales])</f>
        <v>560</v>
      </c>
      <c r="L12" s="3"/>
      <c r="M12" s="3"/>
    </row>
    <row r="13" spans="1:13" x14ac:dyDescent="0.3">
      <c r="E13" s="11" t="str">
        <v>Office Chair</v>
      </c>
      <c r="F13" s="12">
        <f>SUMIF(Sales_Data[Product Name],'KPI '!E13,Sales_Data[Sales])</f>
        <v>2520</v>
      </c>
    </row>
    <row r="14" spans="1:13" x14ac:dyDescent="0.3">
      <c r="E14" s="11" t="str">
        <v>Office Desk</v>
      </c>
      <c r="F14" s="12">
        <f>SUMIF(Sales_Data[Product Name],'KPI '!E14,Sales_Data[Sales])</f>
        <v>3600</v>
      </c>
    </row>
    <row r="15" spans="1:13" x14ac:dyDescent="0.3">
      <c r="E15" s="11" t="str">
        <v>Bookshelf</v>
      </c>
      <c r="F15" s="12">
        <f>SUMIF(Sales_Data[Product Name],'KPI '!E15,Sales_Data[Sales])</f>
        <v>1080</v>
      </c>
    </row>
    <row r="16" spans="1:13" x14ac:dyDescent="0.3">
      <c r="E16" s="11" t="str">
        <v>Filing Cabinet</v>
      </c>
      <c r="F16" s="12">
        <f>SUMIF(Sales_Data[Product Name],'KPI '!E16,Sales_Data[Sales])</f>
        <v>1350</v>
      </c>
    </row>
    <row r="17" spans="5:6" x14ac:dyDescent="0.3">
      <c r="E17" s="11" t="str">
        <v>Tablet</v>
      </c>
      <c r="F17" s="12">
        <f>SUMIF(Sales_Data[Product Name],'KPI '!E17,Sales_Data[Sales])</f>
        <v>3150</v>
      </c>
    </row>
    <row r="18" spans="5:6" x14ac:dyDescent="0.3">
      <c r="E18" s="11" t="str">
        <v>Headphones</v>
      </c>
      <c r="F18" s="12">
        <f>SUMIF(Sales_Data[Product Name],'KPI '!E18,Sales_Data[Sales])</f>
        <v>1400</v>
      </c>
    </row>
    <row r="19" spans="5:6" x14ac:dyDescent="0.3">
      <c r="E19" s="11" t="str">
        <v>USB Drive</v>
      </c>
      <c r="F19" s="12">
        <f>SUMIF(Sales_Data[Product Name],'KPI '!E19,Sales_Data[Sales])</f>
        <v>600</v>
      </c>
    </row>
    <row r="20" spans="5:6" x14ac:dyDescent="0.3">
      <c r="F20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KPI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Maddula</dc:creator>
  <cp:lastModifiedBy>Poojitha Maddula</cp:lastModifiedBy>
  <dcterms:created xsi:type="dcterms:W3CDTF">2026-09-29T05:53:37Z</dcterms:created>
  <dcterms:modified xsi:type="dcterms:W3CDTF">2026-09-29T06:50:25Z</dcterms:modified>
</cp:coreProperties>
</file>