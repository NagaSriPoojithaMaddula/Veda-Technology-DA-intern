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T intern(DA)\Day - 06\"/>
    </mc:Choice>
  </mc:AlternateContent>
  <xr:revisionPtr revIDLastSave="0" documentId="13_ncr:1_{2B2A4565-237C-488A-9276-934FEA09D9AE}" xr6:coauthVersionLast="47" xr6:coauthVersionMax="47" xr10:uidLastSave="{00000000-0000-0000-0000-000000000000}"/>
  <bookViews>
    <workbookView xWindow="-108" yWindow="-108" windowWidth="23256" windowHeight="12456" activeTab="2" xr2:uid="{C8BBADDE-7109-4468-88C5-75683089916A}"/>
  </bookViews>
  <sheets>
    <sheet name="LOOKUPS" sheetId="2" r:id="rId1"/>
    <sheet name="Formulas &amp; Functions" sheetId="1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2" l="1"/>
  <c r="K15" i="2"/>
  <c r="K12" i="2"/>
  <c r="P6" i="2"/>
  <c r="O2" i="2"/>
  <c r="K6" i="2"/>
  <c r="K2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2" i="1"/>
  <c r="R2" i="1"/>
  <c r="Q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M3" i="1"/>
  <c r="N3" i="1" s="1"/>
  <c r="M4" i="1"/>
  <c r="M5" i="1"/>
  <c r="N5" i="1" s="1"/>
  <c r="M6" i="1"/>
  <c r="M7" i="1"/>
  <c r="M8" i="1"/>
  <c r="N8" i="1" s="1"/>
  <c r="M9" i="1"/>
  <c r="M10" i="1"/>
  <c r="M11" i="1"/>
  <c r="M12" i="1"/>
  <c r="M13" i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M22" i="1"/>
  <c r="M23" i="1"/>
  <c r="M24" i="1"/>
  <c r="M25" i="1"/>
  <c r="M26" i="1"/>
  <c r="M27" i="1"/>
  <c r="N27" i="1" s="1"/>
  <c r="M28" i="1"/>
  <c r="N28" i="1" s="1"/>
  <c r="M29" i="1"/>
  <c r="N29" i="1" s="1"/>
  <c r="M30" i="1"/>
  <c r="N30" i="1" s="1"/>
  <c r="M31" i="1"/>
  <c r="N31" i="1" s="1"/>
  <c r="M2" i="1"/>
  <c r="N2" i="1" s="1"/>
  <c r="O2" i="1" s="1"/>
  <c r="N25" i="1" l="1"/>
  <c r="O25" i="1" s="1"/>
  <c r="Q25" i="1" s="1"/>
  <c r="N24" i="1"/>
  <c r="O24" i="1" s="1"/>
  <c r="Q24" i="1" s="1"/>
  <c r="N23" i="1"/>
  <c r="O23" i="1" s="1"/>
  <c r="Q23" i="1" s="1"/>
  <c r="N22" i="1"/>
  <c r="O22" i="1" s="1"/>
  <c r="Q22" i="1" s="1"/>
  <c r="N21" i="1"/>
  <c r="O21" i="1" s="1"/>
  <c r="Q21" i="1" s="1"/>
  <c r="N13" i="1"/>
  <c r="O13" i="1" s="1"/>
  <c r="Q13" i="1" s="1"/>
  <c r="N12" i="1"/>
  <c r="O12" i="1" s="1"/>
  <c r="Q12" i="1" s="1"/>
  <c r="N11" i="1"/>
  <c r="O11" i="1" s="1"/>
  <c r="Q11" i="1" s="1"/>
  <c r="N10" i="1"/>
  <c r="O10" i="1" s="1"/>
  <c r="N9" i="1"/>
  <c r="O9" i="1" s="1"/>
  <c r="Q9" i="1" s="1"/>
  <c r="O14" i="1"/>
  <c r="Q14" i="1" s="1"/>
  <c r="N26" i="1"/>
  <c r="O26" i="1" s="1"/>
  <c r="Q26" i="1" s="1"/>
  <c r="O31" i="1"/>
  <c r="Q31" i="1" s="1"/>
  <c r="O30" i="1"/>
  <c r="Q30" i="1" s="1"/>
  <c r="O5" i="1"/>
  <c r="Q5" i="1" s="1"/>
  <c r="O20" i="1"/>
  <c r="Q20" i="1" s="1"/>
  <c r="O8" i="1"/>
  <c r="Q8" i="1" s="1"/>
  <c r="O19" i="1"/>
  <c r="Q19" i="1" s="1"/>
  <c r="O18" i="1"/>
  <c r="Q18" i="1" s="1"/>
  <c r="O29" i="1"/>
  <c r="Q29" i="1" s="1"/>
  <c r="O17" i="1"/>
  <c r="Q17" i="1" s="1"/>
  <c r="O28" i="1"/>
  <c r="Q28" i="1" s="1"/>
  <c r="O16" i="1"/>
  <c r="Q16" i="1" s="1"/>
  <c r="O27" i="1"/>
  <c r="Q27" i="1" s="1"/>
  <c r="O3" i="1"/>
  <c r="N7" i="1"/>
  <c r="O7" i="1" s="1"/>
  <c r="Q7" i="1" s="1"/>
  <c r="N6" i="1"/>
  <c r="O6" i="1" s="1"/>
  <c r="Q6" i="1" s="1"/>
  <c r="N4" i="1"/>
  <c r="O4" i="1" s="1"/>
  <c r="O15" i="1"/>
  <c r="Q15" i="1" s="1"/>
  <c r="Q10" i="1" l="1"/>
  <c r="X11" i="1" s="1"/>
  <c r="X4" i="1"/>
  <c r="Q4" i="1"/>
  <c r="X5" i="1"/>
  <c r="X12" i="1"/>
  <c r="Q3" i="1"/>
  <c r="X10" i="1" s="1"/>
  <c r="X3" i="1"/>
</calcChain>
</file>

<file path=xl/sharedStrings.xml><?xml version="1.0" encoding="utf-8"?>
<sst xmlns="http://schemas.openxmlformats.org/spreadsheetml/2006/main" count="470" uniqueCount="131">
  <si>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</si>
  <si>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</si>
  <si>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</si>
  <si>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</si>
  <si>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</si>
  <si>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</si>
  <si>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</si>
  <si>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</si>
  <si>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</si>
  <si>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Discount</t>
  </si>
  <si>
    <t>Payment_Mode</t>
  </si>
  <si>
    <t>T001</t>
  </si>
  <si>
    <t>C010</t>
  </si>
  <si>
    <t>Sanjay</t>
  </si>
  <si>
    <t>P101</t>
  </si>
  <si>
    <t>Laptop</t>
  </si>
  <si>
    <t>Electronics</t>
  </si>
  <si>
    <t>UPI</t>
  </si>
  <si>
    <t>T002</t>
  </si>
  <si>
    <t>C004</t>
  </si>
  <si>
    <t>Kiran</t>
  </si>
  <si>
    <t>P108</t>
  </si>
  <si>
    <t>Printer</t>
  </si>
  <si>
    <t>Card</t>
  </si>
  <si>
    <t>T003</t>
  </si>
  <si>
    <t>C001</t>
  </si>
  <si>
    <t>Poojitha</t>
  </si>
  <si>
    <t>P109</t>
  </si>
  <si>
    <t>Office Chair</t>
  </si>
  <si>
    <t>Furniture</t>
  </si>
  <si>
    <t>T004</t>
  </si>
  <si>
    <t>P106</t>
  </si>
  <si>
    <t>Webcam</t>
  </si>
  <si>
    <t>T005</t>
  </si>
  <si>
    <t>Cash</t>
  </si>
  <si>
    <t>T006</t>
  </si>
  <si>
    <t>C005</t>
  </si>
  <si>
    <t>Sneha</t>
  </si>
  <si>
    <t>T007</t>
  </si>
  <si>
    <t>C003</t>
  </si>
  <si>
    <t>Ananya</t>
  </si>
  <si>
    <t>Net Banking</t>
  </si>
  <si>
    <t>T008</t>
  </si>
  <si>
    <t>P110</t>
  </si>
  <si>
    <t>Desk Lamp</t>
  </si>
  <si>
    <t>T009</t>
  </si>
  <si>
    <t>P105</t>
  </si>
  <si>
    <t>Headphones</t>
  </si>
  <si>
    <t>Accessories</t>
  </si>
  <si>
    <t>T010</t>
  </si>
  <si>
    <t>C006</t>
  </si>
  <si>
    <t>Arjun</t>
  </si>
  <si>
    <t>T011</t>
  </si>
  <si>
    <t>C002</t>
  </si>
  <si>
    <t>Rahul</t>
  </si>
  <si>
    <t>T012</t>
  </si>
  <si>
    <t>C007</t>
  </si>
  <si>
    <t>Divya</t>
  </si>
  <si>
    <t>P104</t>
  </si>
  <si>
    <t>Monitor</t>
  </si>
  <si>
    <t>T013</t>
  </si>
  <si>
    <t>T014</t>
  </si>
  <si>
    <t>T015</t>
  </si>
  <si>
    <t>T016</t>
  </si>
  <si>
    <t>P107</t>
  </si>
  <si>
    <t>USB Hub</t>
  </si>
  <si>
    <t>T017</t>
  </si>
  <si>
    <t>T018</t>
  </si>
  <si>
    <t>T019</t>
  </si>
  <si>
    <t>T020</t>
  </si>
  <si>
    <t>T021</t>
  </si>
  <si>
    <t>T022</t>
  </si>
  <si>
    <t>T023</t>
  </si>
  <si>
    <t>T024</t>
  </si>
  <si>
    <t>P103</t>
  </si>
  <si>
    <t>Keyboard</t>
  </si>
  <si>
    <t>T025</t>
  </si>
  <si>
    <t>T026</t>
  </si>
  <si>
    <t>C008</t>
  </si>
  <si>
    <t>Vikram</t>
  </si>
  <si>
    <t>T027</t>
  </si>
  <si>
    <t>T028</t>
  </si>
  <si>
    <t>T029</t>
  </si>
  <si>
    <t>T030</t>
  </si>
  <si>
    <t>GROSS_SALES</t>
  </si>
  <si>
    <t>DISCOUNT_AMOUNT</t>
  </si>
  <si>
    <t>NET_SALES</t>
  </si>
  <si>
    <t>IF</t>
  </si>
  <si>
    <t>LEFT</t>
  </si>
  <si>
    <t>LEN</t>
  </si>
  <si>
    <t>RIGHT</t>
  </si>
  <si>
    <t>UPPER</t>
  </si>
  <si>
    <t>SUMIFS</t>
  </si>
  <si>
    <t>TOTAL NET_SALES</t>
  </si>
  <si>
    <t>CATEGORY</t>
  </si>
  <si>
    <t>COUNTIFS</t>
  </si>
  <si>
    <t>HIGH  ORDERS</t>
  </si>
  <si>
    <t>LOOKUPS</t>
  </si>
  <si>
    <t>VLOOKUP</t>
  </si>
  <si>
    <t>VLOOKUP BY REFERENCE CELL</t>
  </si>
  <si>
    <t>XLOOKUP</t>
  </si>
  <si>
    <t>XLOOKUP BY REFERENCE CELL</t>
  </si>
  <si>
    <t>INDEX</t>
  </si>
  <si>
    <t>MATCH</t>
  </si>
  <si>
    <t>IF Function</t>
  </si>
  <si>
    <r>
      <t>Definition: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IF function</t>
    </r>
    <r>
      <rPr>
        <sz val="11"/>
        <color theme="1"/>
        <rFont val="Aptos Narrow"/>
        <family val="2"/>
        <scheme val="minor"/>
      </rPr>
      <t xml:space="preserve"> checks whether a condition is true or false and returns one value when the condition is true and another value when it is false.</t>
    </r>
  </si>
  <si>
    <t>LEFT Function</t>
  </si>
  <si>
    <r>
      <t>Definition: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LEFT function</t>
    </r>
    <r>
      <rPr>
        <sz val="11"/>
        <color theme="1"/>
        <rFont val="Aptos Narrow"/>
        <family val="2"/>
        <scheme val="minor"/>
      </rPr>
      <t xml:space="preserve"> extracts a specified number of characters from the beginning (left side) of a text string.</t>
    </r>
  </si>
  <si>
    <t>RIGHT Function</t>
  </si>
  <si>
    <r>
      <t>Definition: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RIGHT function</t>
    </r>
    <r>
      <rPr>
        <sz val="11"/>
        <color theme="1"/>
        <rFont val="Aptos Narrow"/>
        <family val="2"/>
        <scheme val="minor"/>
      </rPr>
      <t xml:space="preserve"> extracts a specified number of characters from the end (right side) of a text string.</t>
    </r>
  </si>
  <si>
    <t>LEN Function</t>
  </si>
  <si>
    <r>
      <t>Definition: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LEN function</t>
    </r>
    <r>
      <rPr>
        <sz val="11"/>
        <color theme="1"/>
        <rFont val="Aptos Narrow"/>
        <family val="2"/>
        <scheme val="minor"/>
      </rPr>
      <t xml:space="preserve"> counts the total number of characters in a text string, including spaces.</t>
    </r>
  </si>
  <si>
    <t>UPPER Function</t>
  </si>
  <si>
    <r>
      <t>Definition: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UPPER function</t>
    </r>
    <r>
      <rPr>
        <sz val="11"/>
        <color theme="1"/>
        <rFont val="Aptos Narrow"/>
        <family val="2"/>
        <scheme val="minor"/>
      </rPr>
      <t xml:space="preserve"> converts all letters in a text string into uppercase letters.</t>
    </r>
  </si>
  <si>
    <t>SUMIFS Function</t>
  </si>
  <si>
    <r>
      <t>Definition: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SUMIFS function</t>
    </r>
    <r>
      <rPr>
        <sz val="11"/>
        <color theme="1"/>
        <rFont val="Aptos Narrow"/>
        <family val="2"/>
        <scheme val="minor"/>
      </rPr>
      <t xml:space="preserve"> adds values that meet one or more specified conditions.</t>
    </r>
  </si>
  <si>
    <t>COUNTIFS Function</t>
  </si>
  <si>
    <r>
      <t>Definition: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COUNTIFS function</t>
    </r>
    <r>
      <rPr>
        <sz val="11"/>
        <color theme="1"/>
        <rFont val="Aptos Narrow"/>
        <family val="2"/>
        <scheme val="minor"/>
      </rPr>
      <t xml:space="preserve"> counts the number of cells or records that satisfy multiple specified conditions.</t>
    </r>
  </si>
  <si>
    <r>
      <t>Definition: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VLOOKUP (Vertical Lookup)</t>
    </r>
    <r>
      <rPr>
        <sz val="11"/>
        <color theme="1"/>
        <rFont val="Aptos Narrow"/>
        <family val="2"/>
        <scheme val="minor"/>
      </rPr>
      <t xml:space="preserve"> searches for a value in the first column of a table and returns a related value from another column in the same row.</t>
    </r>
  </si>
  <si>
    <r>
      <t>Definition: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XLOOKUP</t>
    </r>
    <r>
      <rPr>
        <sz val="11"/>
        <color theme="1"/>
        <rFont val="Aptos Narrow"/>
        <family val="2"/>
        <scheme val="minor"/>
      </rPr>
      <t xml:space="preserve"> searches for a value in one range and returns the corresponding value from another range.</t>
    </r>
  </si>
  <si>
    <r>
      <t>Definition: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INDEX function</t>
    </r>
    <r>
      <rPr>
        <sz val="11"/>
        <color theme="1"/>
        <rFont val="Aptos Narrow"/>
        <family val="2"/>
        <scheme val="minor"/>
      </rPr>
      <t xml:space="preserve"> returns the value from a specified position within a range or table.</t>
    </r>
  </si>
  <si>
    <t>FUNCTIONS</t>
  </si>
  <si>
    <r>
      <t>Definition: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MATCH function</t>
    </r>
    <r>
      <rPr>
        <sz val="11"/>
        <color theme="1"/>
        <rFont val="Aptos Narrow"/>
        <family val="2"/>
        <scheme val="minor"/>
      </rPr>
      <t xml:space="preserve"> searches for a specified value in a range and returns its relative position.</t>
    </r>
  </si>
  <si>
    <t>Arithmetic Formula</t>
  </si>
  <si>
    <r>
      <t>Definition:</t>
    </r>
    <r>
      <rPr>
        <sz val="11"/>
        <color theme="1"/>
        <rFont val="Aptos Narrow"/>
        <family val="2"/>
        <scheme val="minor"/>
      </rPr>
      <t xml:space="preserve"> Arithmetic formulas are used to perform mathematical calculations such as multiplication, subtraction, addition, and division in Excel.</t>
    </r>
  </si>
  <si>
    <t>Used for:</t>
  </si>
  <si>
    <t>Gross Sales</t>
  </si>
  <si>
    <t>Discount Amount</t>
  </si>
  <si>
    <t>Net Sales</t>
  </si>
  <si>
    <t>INDEX + MATCH</t>
  </si>
  <si>
    <r>
      <t xml:space="preserve">Definition: INDEX + MATCH </t>
    </r>
    <r>
      <rPr>
        <sz val="11"/>
        <color theme="1"/>
        <rFont val="Aptos Narrow"/>
        <family val="2"/>
        <scheme val="minor"/>
      </rPr>
      <t>is a combination used to perform flexible lookups</t>
    </r>
    <r>
      <rPr>
        <b/>
        <sz val="11"/>
        <color theme="1"/>
        <rFont val="Aptos Narrow"/>
        <family val="2"/>
        <scheme val="minor"/>
      </rPr>
      <t xml:space="preserve">. MATCH </t>
    </r>
    <r>
      <rPr>
        <sz val="11"/>
        <color theme="1"/>
        <rFont val="Aptos Narrow"/>
        <family val="2"/>
        <scheme val="minor"/>
      </rPr>
      <t>finds the position of the required value</t>
    </r>
    <r>
      <rPr>
        <b/>
        <sz val="11"/>
        <color theme="1"/>
        <rFont val="Aptos Narrow"/>
        <family val="2"/>
        <scheme val="minor"/>
      </rPr>
      <t>, a</t>
    </r>
    <r>
      <rPr>
        <sz val="11"/>
        <color theme="1"/>
        <rFont val="Aptos Narrow"/>
        <family val="2"/>
        <scheme val="minor"/>
      </rPr>
      <t>nd</t>
    </r>
    <r>
      <rPr>
        <b/>
        <sz val="11"/>
        <color theme="1"/>
        <rFont val="Aptos Narrow"/>
        <family val="2"/>
        <scheme val="minor"/>
      </rPr>
      <t xml:space="preserve"> INDEX </t>
    </r>
    <r>
      <rPr>
        <sz val="11"/>
        <color theme="1"/>
        <rFont val="Aptos Narrow"/>
        <family val="2"/>
        <scheme val="minor"/>
      </rPr>
      <t>returns the corresponding value from that position.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</si>
</sst>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4">
    <xf numFmtId="0" fontId="0" fillId="0" borderId="0" xfId="0"/>
    <xf numFmtId="8" fontId="0" fillId="0" borderId="0" xfId="0" applyNumberFormat="1"/>
    <xf numFmtId="0" fontId="3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0" fillId="0" borderId="2" xfId="0" applyNumberFormat="1" applyBorder="1"/>
    <xf numFmtId="8" fontId="0" fillId="0" borderId="2" xfId="0" applyNumberFormat="1" applyBorder="1"/>
    <xf numFmtId="9" fontId="0" fillId="0" borderId="2" xfId="0" applyNumberFormat="1" applyBorder="1"/>
    <xf numFmtId="14" fontId="0" fillId="0" borderId="5" xfId="0" applyNumberFormat="1" applyBorder="1"/>
    <xf numFmtId="8" fontId="0" fillId="0" borderId="5" xfId="0" applyNumberFormat="1" applyBorder="1"/>
    <xf numFmtId="9" fontId="0" fillId="0" borderId="5" xfId="0" applyNumberFormat="1" applyBorder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0754-AA84-4FB0-B72B-11BC2D2FAC20}">
  <dimension ref="A1:P31"/>
  <sheetViews>
    <sheetView workbookViewId="0">
      <selection activeCell="M13" sqref="M13"/>
    </sheetView>
  </sheetViews>
  <sheetFormatPr defaultRowHeight="14.4" x14ac:dyDescent="0.3"/>
  <cols>
    <col min="1" max="1" width="16.33203125" customWidth="1"/>
    <col min="2" max="2" width="15" bestFit="1" customWidth="1"/>
    <col min="3" max="3" width="10.109375" bestFit="1" customWidth="1"/>
    <col min="4" max="4" width="13.44140625" bestFit="1" customWidth="1"/>
    <col min="5" max="5" width="10.88671875" bestFit="1" customWidth="1"/>
    <col min="6" max="6" width="8.109375" bestFit="1" customWidth="1"/>
    <col min="7" max="7" width="10.44140625" bestFit="1" customWidth="1"/>
    <col min="8" max="8" width="13.77734375" bestFit="1" customWidth="1"/>
    <col min="16" max="16" width="10" bestFit="1" customWidth="1"/>
  </cols>
  <sheetData>
    <row r="1" spans="1:16" x14ac:dyDescent="0.3">
      <c r="A1" s="10" t="s">
        <v>0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2" t="s">
        <v>10</v>
      </c>
      <c r="K1" s="2" t="s">
        <v>98</v>
      </c>
      <c r="O1" s="2" t="s">
        <v>100</v>
      </c>
    </row>
    <row r="2" spans="1:16" x14ac:dyDescent="0.3">
      <c r="A2" s="4" t="s">
        <v>11</v>
      </c>
      <c r="B2" s="5" t="s">
        <v>13</v>
      </c>
      <c r="C2" s="5" t="s">
        <v>14</v>
      </c>
      <c r="D2" s="5" t="s">
        <v>15</v>
      </c>
      <c r="E2" s="5" t="s">
        <v>16</v>
      </c>
      <c r="F2" s="5">
        <v>4</v>
      </c>
      <c r="G2" s="14">
        <v>55000</v>
      </c>
      <c r="H2" s="6" t="s">
        <v>17</v>
      </c>
      <c r="K2" t="str">
        <f>VLOOKUP(A8,A1:H31,4,FALSE)</f>
        <v>Printer</v>
      </c>
      <c r="O2" t="str">
        <f>_xlfn.XLOOKUP(B4,B1:B31,D1:D31,"NOT FOUND",0,1)</f>
        <v>Office Chair</v>
      </c>
    </row>
    <row r="3" spans="1:16" x14ac:dyDescent="0.3">
      <c r="A3" s="4" t="s">
        <v>18</v>
      </c>
      <c r="B3" s="5" t="s">
        <v>20</v>
      </c>
      <c r="C3" s="5" t="s">
        <v>21</v>
      </c>
      <c r="D3" s="5" t="s">
        <v>22</v>
      </c>
      <c r="E3" s="5" t="s">
        <v>16</v>
      </c>
      <c r="F3" s="5">
        <v>4</v>
      </c>
      <c r="G3" s="14">
        <v>12500</v>
      </c>
      <c r="H3" s="6" t="s">
        <v>23</v>
      </c>
    </row>
    <row r="4" spans="1:16" x14ac:dyDescent="0.3">
      <c r="A4" s="4" t="s">
        <v>24</v>
      </c>
      <c r="B4" s="5" t="s">
        <v>26</v>
      </c>
      <c r="C4" s="5" t="s">
        <v>27</v>
      </c>
      <c r="D4" s="5" t="s">
        <v>28</v>
      </c>
      <c r="E4" s="5" t="s">
        <v>29</v>
      </c>
      <c r="F4" s="5">
        <v>4</v>
      </c>
      <c r="G4" s="14">
        <v>8500</v>
      </c>
      <c r="H4" s="6" t="s">
        <v>17</v>
      </c>
      <c r="J4" s="3" t="s">
        <v>99</v>
      </c>
      <c r="O4" s="3" t="s">
        <v>101</v>
      </c>
    </row>
    <row r="5" spans="1:16" x14ac:dyDescent="0.3">
      <c r="A5" s="4" t="s">
        <v>30</v>
      </c>
      <c r="B5" s="5" t="s">
        <v>20</v>
      </c>
      <c r="C5" s="5" t="s">
        <v>31</v>
      </c>
      <c r="D5" s="5" t="s">
        <v>32</v>
      </c>
      <c r="E5" s="5" t="s">
        <v>16</v>
      </c>
      <c r="F5" s="5">
        <v>1</v>
      </c>
      <c r="G5" s="14">
        <v>3200</v>
      </c>
      <c r="H5" s="6" t="s">
        <v>23</v>
      </c>
    </row>
    <row r="6" spans="1:16" x14ac:dyDescent="0.3">
      <c r="A6" s="4" t="s">
        <v>33</v>
      </c>
      <c r="B6" s="5" t="s">
        <v>13</v>
      </c>
      <c r="C6" s="5" t="s">
        <v>31</v>
      </c>
      <c r="D6" s="5" t="s">
        <v>32</v>
      </c>
      <c r="E6" s="5" t="s">
        <v>16</v>
      </c>
      <c r="F6" s="5">
        <v>4</v>
      </c>
      <c r="G6" s="14">
        <v>3200</v>
      </c>
      <c r="H6" s="6" t="s">
        <v>34</v>
      </c>
      <c r="J6" t="s">
        <v>42</v>
      </c>
      <c r="K6" t="str">
        <f>VLOOKUP(J6,A1:H31,2,FALSE)</f>
        <v>Poojitha</v>
      </c>
      <c r="O6" t="s">
        <v>67</v>
      </c>
      <c r="P6" t="str">
        <f>_xlfn.XLOOKUP(O6,A2:A31,E2:E31,"NOT FOUND",0,-1)</f>
        <v>Electronics</v>
      </c>
    </row>
    <row r="7" spans="1:16" x14ac:dyDescent="0.3">
      <c r="A7" s="4" t="s">
        <v>35</v>
      </c>
      <c r="B7" s="5" t="s">
        <v>37</v>
      </c>
      <c r="C7" s="5" t="s">
        <v>21</v>
      </c>
      <c r="D7" s="5" t="s">
        <v>22</v>
      </c>
      <c r="E7" s="5" t="s">
        <v>16</v>
      </c>
      <c r="F7" s="5">
        <v>2</v>
      </c>
      <c r="G7" s="14">
        <v>12500</v>
      </c>
      <c r="H7" s="6" t="s">
        <v>34</v>
      </c>
    </row>
    <row r="8" spans="1:16" x14ac:dyDescent="0.3">
      <c r="A8" s="4" t="s">
        <v>38</v>
      </c>
      <c r="B8" s="5" t="s">
        <v>40</v>
      </c>
      <c r="C8" s="5" t="s">
        <v>21</v>
      </c>
      <c r="D8" s="5" t="s">
        <v>22</v>
      </c>
      <c r="E8" s="5" t="s">
        <v>16</v>
      </c>
      <c r="F8" s="5">
        <v>2</v>
      </c>
      <c r="G8" s="14">
        <v>12500</v>
      </c>
      <c r="H8" s="6" t="s">
        <v>41</v>
      </c>
    </row>
    <row r="9" spans="1:16" x14ac:dyDescent="0.3">
      <c r="A9" s="4" t="s">
        <v>42</v>
      </c>
      <c r="B9" s="5" t="s">
        <v>26</v>
      </c>
      <c r="C9" s="5" t="s">
        <v>43</v>
      </c>
      <c r="D9" s="5" t="s">
        <v>44</v>
      </c>
      <c r="E9" s="5" t="s">
        <v>29</v>
      </c>
      <c r="F9" s="5">
        <v>1</v>
      </c>
      <c r="G9" s="14">
        <v>1800</v>
      </c>
      <c r="H9" s="6" t="s">
        <v>23</v>
      </c>
    </row>
    <row r="10" spans="1:16" x14ac:dyDescent="0.3">
      <c r="A10" s="4" t="s">
        <v>45</v>
      </c>
      <c r="B10" s="5" t="s">
        <v>20</v>
      </c>
      <c r="C10" s="5" t="s">
        <v>46</v>
      </c>
      <c r="D10" s="5" t="s">
        <v>47</v>
      </c>
      <c r="E10" s="5" t="s">
        <v>48</v>
      </c>
      <c r="F10" s="5">
        <v>5</v>
      </c>
      <c r="G10" s="14">
        <v>2500</v>
      </c>
      <c r="H10" s="6" t="s">
        <v>23</v>
      </c>
    </row>
    <row r="11" spans="1:16" x14ac:dyDescent="0.3">
      <c r="A11" s="4" t="s">
        <v>49</v>
      </c>
      <c r="B11" s="5" t="s">
        <v>51</v>
      </c>
      <c r="C11" s="5" t="s">
        <v>27</v>
      </c>
      <c r="D11" s="5" t="s">
        <v>28</v>
      </c>
      <c r="E11" s="5" t="s">
        <v>29</v>
      </c>
      <c r="F11" s="5">
        <v>4</v>
      </c>
      <c r="G11" s="14">
        <v>8500</v>
      </c>
      <c r="H11" s="6" t="s">
        <v>41</v>
      </c>
      <c r="K11" s="2" t="s">
        <v>102</v>
      </c>
      <c r="M11" s="2" t="s">
        <v>103</v>
      </c>
    </row>
    <row r="12" spans="1:16" x14ac:dyDescent="0.3">
      <c r="A12" s="4" t="s">
        <v>52</v>
      </c>
      <c r="B12" s="5" t="s">
        <v>54</v>
      </c>
      <c r="C12" s="5" t="s">
        <v>43</v>
      </c>
      <c r="D12" s="5" t="s">
        <v>44</v>
      </c>
      <c r="E12" s="5" t="s">
        <v>29</v>
      </c>
      <c r="F12" s="5">
        <v>3</v>
      </c>
      <c r="G12" s="14">
        <v>1800</v>
      </c>
      <c r="H12" s="6" t="s">
        <v>23</v>
      </c>
      <c r="K12" t="str">
        <f>INDEX(B1:B31,16)</f>
        <v>Rahul</v>
      </c>
      <c r="M12">
        <f>MATCH("Ananya",B1:B31,0)</f>
        <v>8</v>
      </c>
    </row>
    <row r="13" spans="1:16" x14ac:dyDescent="0.3">
      <c r="A13" s="4" t="s">
        <v>55</v>
      </c>
      <c r="B13" s="5" t="s">
        <v>57</v>
      </c>
      <c r="C13" s="5" t="s">
        <v>58</v>
      </c>
      <c r="D13" s="5" t="s">
        <v>59</v>
      </c>
      <c r="E13" s="5" t="s">
        <v>16</v>
      </c>
      <c r="F13" s="5">
        <v>1</v>
      </c>
      <c r="G13" s="14">
        <v>14500</v>
      </c>
      <c r="H13" s="6" t="s">
        <v>41</v>
      </c>
    </row>
    <row r="14" spans="1:16" x14ac:dyDescent="0.3">
      <c r="A14" s="4" t="s">
        <v>60</v>
      </c>
      <c r="B14" s="5" t="s">
        <v>37</v>
      </c>
      <c r="C14" s="5" t="s">
        <v>43</v>
      </c>
      <c r="D14" s="5" t="s">
        <v>44</v>
      </c>
      <c r="E14" s="5" t="s">
        <v>29</v>
      </c>
      <c r="F14" s="5">
        <v>1</v>
      </c>
      <c r="G14" s="14">
        <v>1800</v>
      </c>
      <c r="H14" s="6" t="s">
        <v>23</v>
      </c>
    </row>
    <row r="15" spans="1:16" x14ac:dyDescent="0.3">
      <c r="A15" s="4" t="s">
        <v>61</v>
      </c>
      <c r="B15" s="5" t="s">
        <v>57</v>
      </c>
      <c r="C15" s="5" t="s">
        <v>43</v>
      </c>
      <c r="D15" s="5" t="s">
        <v>44</v>
      </c>
      <c r="E15" s="5" t="s">
        <v>29</v>
      </c>
      <c r="F15" s="5">
        <v>3</v>
      </c>
      <c r="G15" s="14">
        <v>1800</v>
      </c>
      <c r="H15" s="6" t="s">
        <v>17</v>
      </c>
      <c r="K15" t="str">
        <f>INDEX(E1:E32,10)</f>
        <v>Accessories</v>
      </c>
    </row>
    <row r="16" spans="1:16" x14ac:dyDescent="0.3">
      <c r="A16" s="4" t="s">
        <v>62</v>
      </c>
      <c r="B16" s="5" t="s">
        <v>54</v>
      </c>
      <c r="C16" s="5" t="s">
        <v>21</v>
      </c>
      <c r="D16" s="5" t="s">
        <v>22</v>
      </c>
      <c r="E16" s="5" t="s">
        <v>16</v>
      </c>
      <c r="F16" s="5">
        <v>2</v>
      </c>
      <c r="G16" s="14">
        <v>12500</v>
      </c>
      <c r="H16" s="6" t="s">
        <v>34</v>
      </c>
    </row>
    <row r="17" spans="1:8" x14ac:dyDescent="0.3">
      <c r="A17" s="4" t="s">
        <v>63</v>
      </c>
      <c r="B17" s="5" t="s">
        <v>57</v>
      </c>
      <c r="C17" s="5" t="s">
        <v>64</v>
      </c>
      <c r="D17" s="5" t="s">
        <v>65</v>
      </c>
      <c r="E17" s="5" t="s">
        <v>48</v>
      </c>
      <c r="F17" s="5">
        <v>4</v>
      </c>
      <c r="G17" s="14">
        <v>900</v>
      </c>
      <c r="H17" s="6" t="s">
        <v>34</v>
      </c>
    </row>
    <row r="18" spans="1:8" x14ac:dyDescent="0.3">
      <c r="A18" s="4" t="s">
        <v>66</v>
      </c>
      <c r="B18" s="5" t="s">
        <v>40</v>
      </c>
      <c r="C18" s="5" t="s">
        <v>43</v>
      </c>
      <c r="D18" s="5" t="s">
        <v>44</v>
      </c>
      <c r="E18" s="5" t="s">
        <v>29</v>
      </c>
      <c r="F18" s="5">
        <v>5</v>
      </c>
      <c r="G18" s="14">
        <v>1800</v>
      </c>
      <c r="H18" s="6" t="s">
        <v>17</v>
      </c>
    </row>
    <row r="19" spans="1:8" x14ac:dyDescent="0.3">
      <c r="A19" s="4" t="s">
        <v>67</v>
      </c>
      <c r="B19" s="5" t="s">
        <v>37</v>
      </c>
      <c r="C19" s="5" t="s">
        <v>21</v>
      </c>
      <c r="D19" s="5" t="s">
        <v>22</v>
      </c>
      <c r="E19" s="5" t="s">
        <v>16</v>
      </c>
      <c r="F19" s="5">
        <v>3</v>
      </c>
      <c r="G19" s="14">
        <v>12500</v>
      </c>
      <c r="H19" s="6" t="s">
        <v>23</v>
      </c>
    </row>
    <row r="20" spans="1:8" x14ac:dyDescent="0.3">
      <c r="A20" s="4" t="s">
        <v>68</v>
      </c>
      <c r="B20" s="5" t="s">
        <v>40</v>
      </c>
      <c r="C20" s="5" t="s">
        <v>21</v>
      </c>
      <c r="D20" s="5" t="s">
        <v>22</v>
      </c>
      <c r="E20" s="5" t="s">
        <v>16</v>
      </c>
      <c r="F20" s="5">
        <v>3</v>
      </c>
      <c r="G20" s="14">
        <v>12500</v>
      </c>
      <c r="H20" s="6" t="s">
        <v>41</v>
      </c>
    </row>
    <row r="21" spans="1:8" x14ac:dyDescent="0.3">
      <c r="A21" s="4" t="s">
        <v>69</v>
      </c>
      <c r="B21" s="5" t="s">
        <v>20</v>
      </c>
      <c r="C21" s="5" t="s">
        <v>14</v>
      </c>
      <c r="D21" s="5" t="s">
        <v>15</v>
      </c>
      <c r="E21" s="5" t="s">
        <v>16</v>
      </c>
      <c r="F21" s="5">
        <v>5</v>
      </c>
      <c r="G21" s="14">
        <v>55000</v>
      </c>
      <c r="H21" s="6" t="s">
        <v>34</v>
      </c>
    </row>
    <row r="22" spans="1:8" x14ac:dyDescent="0.3">
      <c r="A22" s="4" t="s">
        <v>70</v>
      </c>
      <c r="B22" s="5" t="s">
        <v>51</v>
      </c>
      <c r="C22" s="5" t="s">
        <v>58</v>
      </c>
      <c r="D22" s="5" t="s">
        <v>59</v>
      </c>
      <c r="E22" s="5" t="s">
        <v>16</v>
      </c>
      <c r="F22" s="5">
        <v>1</v>
      </c>
      <c r="G22" s="14">
        <v>14500</v>
      </c>
      <c r="H22" s="6" t="s">
        <v>41</v>
      </c>
    </row>
    <row r="23" spans="1:8" x14ac:dyDescent="0.3">
      <c r="A23" s="4" t="s">
        <v>71</v>
      </c>
      <c r="B23" s="5" t="s">
        <v>57</v>
      </c>
      <c r="C23" s="5" t="s">
        <v>43</v>
      </c>
      <c r="D23" s="5" t="s">
        <v>44</v>
      </c>
      <c r="E23" s="5" t="s">
        <v>29</v>
      </c>
      <c r="F23" s="5">
        <v>2</v>
      </c>
      <c r="G23" s="14">
        <v>1800</v>
      </c>
      <c r="H23" s="6" t="s">
        <v>41</v>
      </c>
    </row>
    <row r="24" spans="1:8" x14ac:dyDescent="0.3">
      <c r="A24" s="4" t="s">
        <v>72</v>
      </c>
      <c r="B24" s="5" t="s">
        <v>20</v>
      </c>
      <c r="C24" s="5" t="s">
        <v>27</v>
      </c>
      <c r="D24" s="5" t="s">
        <v>28</v>
      </c>
      <c r="E24" s="5" t="s">
        <v>29</v>
      </c>
      <c r="F24" s="5">
        <v>3</v>
      </c>
      <c r="G24" s="14">
        <v>8500</v>
      </c>
      <c r="H24" s="6" t="s">
        <v>41</v>
      </c>
    </row>
    <row r="25" spans="1:8" x14ac:dyDescent="0.3">
      <c r="A25" s="4" t="s">
        <v>73</v>
      </c>
      <c r="B25" s="5" t="s">
        <v>54</v>
      </c>
      <c r="C25" s="5" t="s">
        <v>74</v>
      </c>
      <c r="D25" s="5" t="s">
        <v>75</v>
      </c>
      <c r="E25" s="5" t="s">
        <v>48</v>
      </c>
      <c r="F25" s="5">
        <v>4</v>
      </c>
      <c r="G25" s="14">
        <v>1800</v>
      </c>
      <c r="H25" s="6" t="s">
        <v>41</v>
      </c>
    </row>
    <row r="26" spans="1:8" x14ac:dyDescent="0.3">
      <c r="A26" s="4" t="s">
        <v>76</v>
      </c>
      <c r="B26" s="5" t="s">
        <v>40</v>
      </c>
      <c r="C26" s="5" t="s">
        <v>64</v>
      </c>
      <c r="D26" s="5" t="s">
        <v>65</v>
      </c>
      <c r="E26" s="5" t="s">
        <v>48</v>
      </c>
      <c r="F26" s="5">
        <v>5</v>
      </c>
      <c r="G26" s="14">
        <v>900</v>
      </c>
      <c r="H26" s="6" t="s">
        <v>41</v>
      </c>
    </row>
    <row r="27" spans="1:8" x14ac:dyDescent="0.3">
      <c r="A27" s="4" t="s">
        <v>77</v>
      </c>
      <c r="B27" s="5" t="s">
        <v>79</v>
      </c>
      <c r="C27" s="5" t="s">
        <v>74</v>
      </c>
      <c r="D27" s="5" t="s">
        <v>75</v>
      </c>
      <c r="E27" s="5" t="s">
        <v>48</v>
      </c>
      <c r="F27" s="5">
        <v>5</v>
      </c>
      <c r="G27" s="14">
        <v>1800</v>
      </c>
      <c r="H27" s="6" t="s">
        <v>17</v>
      </c>
    </row>
    <row r="28" spans="1:8" x14ac:dyDescent="0.3">
      <c r="A28" s="4" t="s">
        <v>80</v>
      </c>
      <c r="B28" s="5" t="s">
        <v>57</v>
      </c>
      <c r="C28" s="5" t="s">
        <v>14</v>
      </c>
      <c r="D28" s="5" t="s">
        <v>15</v>
      </c>
      <c r="E28" s="5" t="s">
        <v>16</v>
      </c>
      <c r="F28" s="5">
        <v>1</v>
      </c>
      <c r="G28" s="14">
        <v>55000</v>
      </c>
      <c r="H28" s="6" t="s">
        <v>17</v>
      </c>
    </row>
    <row r="29" spans="1:8" x14ac:dyDescent="0.3">
      <c r="A29" s="4" t="s">
        <v>81</v>
      </c>
      <c r="B29" s="5" t="s">
        <v>26</v>
      </c>
      <c r="C29" s="5" t="s">
        <v>31</v>
      </c>
      <c r="D29" s="5" t="s">
        <v>32</v>
      </c>
      <c r="E29" s="5" t="s">
        <v>16</v>
      </c>
      <c r="F29" s="5">
        <v>1</v>
      </c>
      <c r="G29" s="14">
        <v>3200</v>
      </c>
      <c r="H29" s="6" t="s">
        <v>17</v>
      </c>
    </row>
    <row r="30" spans="1:8" x14ac:dyDescent="0.3">
      <c r="A30" s="4" t="s">
        <v>82</v>
      </c>
      <c r="B30" s="5" t="s">
        <v>13</v>
      </c>
      <c r="C30" s="5" t="s">
        <v>21</v>
      </c>
      <c r="D30" s="5" t="s">
        <v>22</v>
      </c>
      <c r="E30" s="5" t="s">
        <v>16</v>
      </c>
      <c r="F30" s="5">
        <v>4</v>
      </c>
      <c r="G30" s="14">
        <v>12500</v>
      </c>
      <c r="H30" s="6" t="s">
        <v>41</v>
      </c>
    </row>
    <row r="31" spans="1:8" x14ac:dyDescent="0.3">
      <c r="A31" s="7" t="s">
        <v>83</v>
      </c>
      <c r="B31" s="8" t="s">
        <v>57</v>
      </c>
      <c r="C31" s="8" t="s">
        <v>27</v>
      </c>
      <c r="D31" s="8" t="s">
        <v>28</v>
      </c>
      <c r="E31" s="8" t="s">
        <v>29</v>
      </c>
      <c r="F31" s="8">
        <v>4</v>
      </c>
      <c r="G31" s="17">
        <v>8500</v>
      </c>
      <c r="H31" s="9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160A-181D-48D3-A6A5-5D2418298159}">
  <dimension ref="A1:X39"/>
  <sheetViews>
    <sheetView topLeftCell="A5" workbookViewId="0">
      <selection activeCell="M13" sqref="M13"/>
    </sheetView>
  </sheetViews>
  <sheetFormatPr defaultRowHeight="14.4" x14ac:dyDescent="0.3"/>
  <cols>
    <col min="1" max="1" width="15.5546875" bestFit="1" customWidth="1"/>
    <col min="2" max="2" width="10.33203125" bestFit="1" customWidth="1"/>
    <col min="3" max="3" width="13.88671875" bestFit="1" customWidth="1"/>
    <col min="4" max="4" width="17.21875" bestFit="1" customWidth="1"/>
    <col min="5" max="5" width="12.33203125" bestFit="1" customWidth="1"/>
    <col min="6" max="6" width="15.6640625" bestFit="1" customWidth="1"/>
    <col min="7" max="7" width="10.88671875" bestFit="1" customWidth="1"/>
    <col min="8" max="8" width="10.33203125" bestFit="1" customWidth="1"/>
    <col min="9" max="9" width="11.77734375" bestFit="1" customWidth="1"/>
    <col min="10" max="10" width="10.5546875" bestFit="1" customWidth="1"/>
    <col min="11" max="11" width="16" bestFit="1" customWidth="1"/>
    <col min="13" max="13" width="13.6640625" bestFit="1" customWidth="1"/>
    <col min="14" max="14" width="18.88671875" bestFit="1" customWidth="1"/>
    <col min="15" max="15" width="12" bestFit="1" customWidth="1"/>
    <col min="16" max="16" width="12" customWidth="1"/>
    <col min="18" max="18" width="10.33203125" customWidth="1"/>
    <col min="19" max="19" width="12.88671875" customWidth="1"/>
    <col min="23" max="23" width="10.88671875" bestFit="1" customWidth="1"/>
    <col min="24" max="24" width="18.6640625" bestFit="1" customWidth="1"/>
  </cols>
  <sheetData>
    <row r="1" spans="1:24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M1" s="2" t="s">
        <v>84</v>
      </c>
      <c r="N1" s="2" t="s">
        <v>85</v>
      </c>
      <c r="O1" s="2" t="s">
        <v>86</v>
      </c>
      <c r="P1" s="2"/>
      <c r="Q1" s="2" t="s">
        <v>87</v>
      </c>
      <c r="R1" s="2" t="s">
        <v>88</v>
      </c>
      <c r="S1" s="2" t="s">
        <v>90</v>
      </c>
      <c r="T1" s="2" t="s">
        <v>89</v>
      </c>
      <c r="U1" s="2" t="s">
        <v>91</v>
      </c>
      <c r="W1" s="2"/>
      <c r="X1" s="2" t="s">
        <v>92</v>
      </c>
    </row>
    <row r="2" spans="1:24" x14ac:dyDescent="0.3">
      <c r="A2" s="4" t="s">
        <v>11</v>
      </c>
      <c r="B2" s="13">
        <v>46266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4</v>
      </c>
      <c r="I2" s="14">
        <v>55000</v>
      </c>
      <c r="J2" s="15">
        <v>0.15</v>
      </c>
      <c r="K2" s="6" t="s">
        <v>17</v>
      </c>
      <c r="M2" s="1">
        <f t="shared" ref="M2:M31" si="0">H2*I2</f>
        <v>220000</v>
      </c>
      <c r="N2" s="1">
        <f t="shared" ref="N2:N31" si="1">M2*J2</f>
        <v>33000</v>
      </c>
      <c r="O2" s="1">
        <f>M2-N2</f>
        <v>187000</v>
      </c>
      <c r="P2" s="1"/>
      <c r="Q2" t="str">
        <f t="shared" ref="Q2:Q31" si="2">IF(O2&gt;=20000,"HIGH","NORMAL")</f>
        <v>HIGH</v>
      </c>
      <c r="R2" t="str">
        <f>LEFT(C2,3)</f>
        <v>C01</v>
      </c>
      <c r="S2" t="str">
        <f>RIGHT(C2,2)</f>
        <v>10</v>
      </c>
      <c r="T2">
        <f>LEN(D2)</f>
        <v>6</v>
      </c>
      <c r="U2" t="str">
        <f>UPPER(D2)</f>
        <v>SANJAY</v>
      </c>
      <c r="W2" s="3" t="s">
        <v>94</v>
      </c>
      <c r="X2" s="3" t="s">
        <v>93</v>
      </c>
    </row>
    <row r="3" spans="1:24" x14ac:dyDescent="0.3">
      <c r="A3" s="4" t="s">
        <v>18</v>
      </c>
      <c r="B3" s="13">
        <v>46267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16</v>
      </c>
      <c r="H3" s="5">
        <v>4</v>
      </c>
      <c r="I3" s="14">
        <v>12500</v>
      </c>
      <c r="J3" s="15">
        <v>0.1</v>
      </c>
      <c r="K3" s="6" t="s">
        <v>23</v>
      </c>
      <c r="M3" s="1">
        <f t="shared" si="0"/>
        <v>50000</v>
      </c>
      <c r="N3" s="1">
        <f t="shared" si="1"/>
        <v>5000</v>
      </c>
      <c r="O3" s="1">
        <f t="shared" ref="O3:O31" si="3">M3-N3</f>
        <v>45000</v>
      </c>
      <c r="P3" s="1"/>
      <c r="Q3" t="str">
        <f t="shared" si="2"/>
        <v>HIGH</v>
      </c>
      <c r="R3" t="str">
        <f t="shared" ref="R3:R31" si="4">LEFT(C3,3)</f>
        <v>C00</v>
      </c>
      <c r="S3" t="str">
        <f t="shared" ref="S3:S31" si="5">RIGHT(C3,2)</f>
        <v>04</v>
      </c>
      <c r="T3">
        <f t="shared" ref="T3:T31" si="6">LEN(D3)</f>
        <v>5</v>
      </c>
      <c r="U3" t="str">
        <f t="shared" ref="U3:U31" si="7">UPPER(D3)</f>
        <v>KIRAN</v>
      </c>
      <c r="W3" t="s">
        <v>16</v>
      </c>
      <c r="X3">
        <f>SUMIFS(O2:O31,G2:G31,W3)</f>
        <v>782315</v>
      </c>
    </row>
    <row r="4" spans="1:24" x14ac:dyDescent="0.3">
      <c r="A4" s="4" t="s">
        <v>24</v>
      </c>
      <c r="B4" s="13">
        <v>46268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>
        <v>4</v>
      </c>
      <c r="I4" s="14">
        <v>8500</v>
      </c>
      <c r="J4" s="15">
        <v>0.1</v>
      </c>
      <c r="K4" s="6" t="s">
        <v>17</v>
      </c>
      <c r="M4" s="1">
        <f t="shared" si="0"/>
        <v>34000</v>
      </c>
      <c r="N4" s="1">
        <f t="shared" si="1"/>
        <v>3400</v>
      </c>
      <c r="O4" s="1">
        <f t="shared" si="3"/>
        <v>30600</v>
      </c>
      <c r="P4" s="1"/>
      <c r="Q4" t="str">
        <f t="shared" si="2"/>
        <v>HIGH</v>
      </c>
      <c r="R4" t="str">
        <f t="shared" si="4"/>
        <v>C00</v>
      </c>
      <c r="S4" t="str">
        <f t="shared" si="5"/>
        <v>01</v>
      </c>
      <c r="T4">
        <f t="shared" si="6"/>
        <v>8</v>
      </c>
      <c r="U4" t="str">
        <f t="shared" si="7"/>
        <v>POOJITHA</v>
      </c>
      <c r="W4" t="s">
        <v>48</v>
      </c>
      <c r="X4">
        <f t="shared" ref="X4:X5" si="8">SUMIFS(O3:O32,G3:G32,W4)</f>
        <v>32490</v>
      </c>
    </row>
    <row r="5" spans="1:24" x14ac:dyDescent="0.3">
      <c r="A5" s="4" t="s">
        <v>30</v>
      </c>
      <c r="B5" s="13">
        <v>46269</v>
      </c>
      <c r="C5" s="5" t="s">
        <v>19</v>
      </c>
      <c r="D5" s="5" t="s">
        <v>20</v>
      </c>
      <c r="E5" s="5" t="s">
        <v>31</v>
      </c>
      <c r="F5" s="5" t="s">
        <v>32</v>
      </c>
      <c r="G5" s="5" t="s">
        <v>16</v>
      </c>
      <c r="H5" s="5">
        <v>1</v>
      </c>
      <c r="I5" s="14">
        <v>3200</v>
      </c>
      <c r="J5" s="15">
        <v>0.15</v>
      </c>
      <c r="K5" s="6" t="s">
        <v>23</v>
      </c>
      <c r="M5" s="1">
        <f t="shared" si="0"/>
        <v>3200</v>
      </c>
      <c r="N5" s="1">
        <f t="shared" si="1"/>
        <v>480</v>
      </c>
      <c r="O5" s="1">
        <f t="shared" si="3"/>
        <v>2720</v>
      </c>
      <c r="P5" s="1"/>
      <c r="Q5" t="str">
        <f t="shared" si="2"/>
        <v>NORMAL</v>
      </c>
      <c r="R5" t="str">
        <f t="shared" si="4"/>
        <v>C00</v>
      </c>
      <c r="S5" t="str">
        <f t="shared" si="5"/>
        <v>04</v>
      </c>
      <c r="T5">
        <f t="shared" si="6"/>
        <v>5</v>
      </c>
      <c r="U5" t="str">
        <f t="shared" si="7"/>
        <v>KIRAN</v>
      </c>
      <c r="W5" t="s">
        <v>29</v>
      </c>
      <c r="X5">
        <f t="shared" si="8"/>
        <v>137155</v>
      </c>
    </row>
    <row r="6" spans="1:24" x14ac:dyDescent="0.3">
      <c r="A6" s="4" t="s">
        <v>33</v>
      </c>
      <c r="B6" s="13">
        <v>46270</v>
      </c>
      <c r="C6" s="5" t="s">
        <v>12</v>
      </c>
      <c r="D6" s="5" t="s">
        <v>13</v>
      </c>
      <c r="E6" s="5" t="s">
        <v>31</v>
      </c>
      <c r="F6" s="5" t="s">
        <v>32</v>
      </c>
      <c r="G6" s="5" t="s">
        <v>16</v>
      </c>
      <c r="H6" s="5">
        <v>4</v>
      </c>
      <c r="I6" s="14">
        <v>3200</v>
      </c>
      <c r="J6" s="15">
        <v>0.15</v>
      </c>
      <c r="K6" s="6" t="s">
        <v>34</v>
      </c>
      <c r="M6" s="1">
        <f t="shared" si="0"/>
        <v>12800</v>
      </c>
      <c r="N6" s="1">
        <f t="shared" si="1"/>
        <v>1920</v>
      </c>
      <c r="O6" s="1">
        <f t="shared" si="3"/>
        <v>10880</v>
      </c>
      <c r="P6" s="1"/>
      <c r="Q6" t="str">
        <f t="shared" si="2"/>
        <v>NORMAL</v>
      </c>
      <c r="R6" t="str">
        <f t="shared" si="4"/>
        <v>C01</v>
      </c>
      <c r="S6" t="str">
        <f t="shared" si="5"/>
        <v>10</v>
      </c>
      <c r="T6">
        <f t="shared" si="6"/>
        <v>6</v>
      </c>
      <c r="U6" t="str">
        <f t="shared" si="7"/>
        <v>SANJAY</v>
      </c>
    </row>
    <row r="7" spans="1:24" x14ac:dyDescent="0.3">
      <c r="A7" s="4" t="s">
        <v>35</v>
      </c>
      <c r="B7" s="13">
        <v>46271</v>
      </c>
      <c r="C7" s="5" t="s">
        <v>36</v>
      </c>
      <c r="D7" s="5" t="s">
        <v>37</v>
      </c>
      <c r="E7" s="5" t="s">
        <v>21</v>
      </c>
      <c r="F7" s="5" t="s">
        <v>22</v>
      </c>
      <c r="G7" s="5" t="s">
        <v>16</v>
      </c>
      <c r="H7" s="5">
        <v>2</v>
      </c>
      <c r="I7" s="14">
        <v>12500</v>
      </c>
      <c r="J7" s="15">
        <v>0.1</v>
      </c>
      <c r="K7" s="6" t="s">
        <v>34</v>
      </c>
      <c r="M7" s="1">
        <f t="shared" si="0"/>
        <v>25000</v>
      </c>
      <c r="N7" s="1">
        <f t="shared" si="1"/>
        <v>2500</v>
      </c>
      <c r="O7" s="1">
        <f t="shared" si="3"/>
        <v>22500</v>
      </c>
      <c r="P7" s="1"/>
      <c r="Q7" t="str">
        <f t="shared" si="2"/>
        <v>HIGH</v>
      </c>
      <c r="R7" t="str">
        <f t="shared" si="4"/>
        <v>C00</v>
      </c>
      <c r="S7" t="str">
        <f t="shared" si="5"/>
        <v>05</v>
      </c>
      <c r="T7">
        <f t="shared" si="6"/>
        <v>5</v>
      </c>
      <c r="U7" t="str">
        <f t="shared" si="7"/>
        <v>SNEHA</v>
      </c>
    </row>
    <row r="8" spans="1:24" x14ac:dyDescent="0.3">
      <c r="A8" s="4" t="s">
        <v>38</v>
      </c>
      <c r="B8" s="13">
        <v>46272</v>
      </c>
      <c r="C8" s="5" t="s">
        <v>39</v>
      </c>
      <c r="D8" s="5" t="s">
        <v>40</v>
      </c>
      <c r="E8" s="5" t="s">
        <v>21</v>
      </c>
      <c r="F8" s="5" t="s">
        <v>22</v>
      </c>
      <c r="G8" s="5" t="s">
        <v>16</v>
      </c>
      <c r="H8" s="5">
        <v>2</v>
      </c>
      <c r="I8" s="14">
        <v>12500</v>
      </c>
      <c r="J8" s="15">
        <v>0.15</v>
      </c>
      <c r="K8" s="6" t="s">
        <v>41</v>
      </c>
      <c r="M8" s="1">
        <f t="shared" si="0"/>
        <v>25000</v>
      </c>
      <c r="N8" s="1">
        <f t="shared" si="1"/>
        <v>3750</v>
      </c>
      <c r="O8" s="1">
        <f t="shared" si="3"/>
        <v>21250</v>
      </c>
      <c r="P8" s="1"/>
      <c r="Q8" t="str">
        <f t="shared" si="2"/>
        <v>HIGH</v>
      </c>
      <c r="R8" t="str">
        <f t="shared" si="4"/>
        <v>C00</v>
      </c>
      <c r="S8" t="str">
        <f t="shared" si="5"/>
        <v>03</v>
      </c>
      <c r="T8">
        <f t="shared" si="6"/>
        <v>6</v>
      </c>
      <c r="U8" t="str">
        <f t="shared" si="7"/>
        <v>ANANYA</v>
      </c>
      <c r="X8" s="2" t="s">
        <v>95</v>
      </c>
    </row>
    <row r="9" spans="1:24" x14ac:dyDescent="0.3">
      <c r="A9" s="4" t="s">
        <v>42</v>
      </c>
      <c r="B9" s="13">
        <v>46273</v>
      </c>
      <c r="C9" s="5" t="s">
        <v>25</v>
      </c>
      <c r="D9" s="5" t="s">
        <v>26</v>
      </c>
      <c r="E9" s="5" t="s">
        <v>43</v>
      </c>
      <c r="F9" s="5" t="s">
        <v>44</v>
      </c>
      <c r="G9" s="5" t="s">
        <v>29</v>
      </c>
      <c r="H9" s="5">
        <v>1</v>
      </c>
      <c r="I9" s="14">
        <v>1800</v>
      </c>
      <c r="J9" s="15">
        <v>0.05</v>
      </c>
      <c r="K9" s="6" t="s">
        <v>23</v>
      </c>
      <c r="M9" s="1">
        <f t="shared" si="0"/>
        <v>1800</v>
      </c>
      <c r="N9" s="1">
        <f t="shared" si="1"/>
        <v>90</v>
      </c>
      <c r="O9" s="1">
        <f t="shared" si="3"/>
        <v>1710</v>
      </c>
      <c r="P9" s="1"/>
      <c r="Q9" t="str">
        <f t="shared" si="2"/>
        <v>NORMAL</v>
      </c>
      <c r="R9" t="str">
        <f t="shared" si="4"/>
        <v>C00</v>
      </c>
      <c r="S9" t="str">
        <f t="shared" si="5"/>
        <v>01</v>
      </c>
      <c r="T9">
        <f t="shared" si="6"/>
        <v>8</v>
      </c>
      <c r="U9" t="str">
        <f t="shared" si="7"/>
        <v>POOJITHA</v>
      </c>
      <c r="W9" s="3" t="s">
        <v>94</v>
      </c>
      <c r="X9" s="3" t="s">
        <v>96</v>
      </c>
    </row>
    <row r="10" spans="1:24" x14ac:dyDescent="0.3">
      <c r="A10" s="4" t="s">
        <v>45</v>
      </c>
      <c r="B10" s="13">
        <v>46274</v>
      </c>
      <c r="C10" s="5" t="s">
        <v>19</v>
      </c>
      <c r="D10" s="5" t="s">
        <v>20</v>
      </c>
      <c r="E10" s="5" t="s">
        <v>46</v>
      </c>
      <c r="F10" s="5" t="s">
        <v>47</v>
      </c>
      <c r="G10" s="5" t="s">
        <v>48</v>
      </c>
      <c r="H10" s="5">
        <v>5</v>
      </c>
      <c r="I10" s="14">
        <v>2500</v>
      </c>
      <c r="J10" s="15">
        <v>0.1</v>
      </c>
      <c r="K10" s="6" t="s">
        <v>23</v>
      </c>
      <c r="M10" s="1">
        <f t="shared" si="0"/>
        <v>12500</v>
      </c>
      <c r="N10" s="1">
        <f t="shared" si="1"/>
        <v>1250</v>
      </c>
      <c r="O10" s="1">
        <f t="shared" si="3"/>
        <v>11250</v>
      </c>
      <c r="P10" s="1"/>
      <c r="Q10" t="str">
        <f t="shared" si="2"/>
        <v>NORMAL</v>
      </c>
      <c r="R10" t="str">
        <f t="shared" si="4"/>
        <v>C00</v>
      </c>
      <c r="S10" t="str">
        <f t="shared" si="5"/>
        <v>04</v>
      </c>
      <c r="T10">
        <f t="shared" si="6"/>
        <v>5</v>
      </c>
      <c r="U10" t="str">
        <f t="shared" si="7"/>
        <v>KIRAN</v>
      </c>
      <c r="W10" t="s">
        <v>16</v>
      </c>
      <c r="X10">
        <f>COUNTIFS(G2:G31,W10,Q2:Q31,"HIGH")</f>
        <v>10</v>
      </c>
    </row>
    <row r="11" spans="1:24" x14ac:dyDescent="0.3">
      <c r="A11" s="4" t="s">
        <v>49</v>
      </c>
      <c r="B11" s="13">
        <v>46275</v>
      </c>
      <c r="C11" s="5" t="s">
        <v>50</v>
      </c>
      <c r="D11" s="5" t="s">
        <v>51</v>
      </c>
      <c r="E11" s="5" t="s">
        <v>27</v>
      </c>
      <c r="F11" s="5" t="s">
        <v>28</v>
      </c>
      <c r="G11" s="5" t="s">
        <v>29</v>
      </c>
      <c r="H11" s="5">
        <v>4</v>
      </c>
      <c r="I11" s="14">
        <v>8500</v>
      </c>
      <c r="J11" s="15">
        <v>0.15</v>
      </c>
      <c r="K11" s="6" t="s">
        <v>41</v>
      </c>
      <c r="M11" s="1">
        <f t="shared" si="0"/>
        <v>34000</v>
      </c>
      <c r="N11" s="1">
        <f t="shared" si="1"/>
        <v>5100</v>
      </c>
      <c r="O11" s="1">
        <f t="shared" si="3"/>
        <v>28900</v>
      </c>
      <c r="P11" s="1"/>
      <c r="Q11" t="str">
        <f t="shared" si="2"/>
        <v>HIGH</v>
      </c>
      <c r="R11" t="str">
        <f t="shared" si="4"/>
        <v>C00</v>
      </c>
      <c r="S11" t="str">
        <f t="shared" si="5"/>
        <v>06</v>
      </c>
      <c r="T11">
        <f t="shared" si="6"/>
        <v>5</v>
      </c>
      <c r="U11" t="str">
        <f t="shared" si="7"/>
        <v>ARJUN</v>
      </c>
      <c r="W11" t="s">
        <v>48</v>
      </c>
      <c r="X11">
        <f t="shared" ref="X11:X12" si="9">COUNTIFS(G3:G32,W11,Q3:Q32,"HIGH")</f>
        <v>0</v>
      </c>
    </row>
    <row r="12" spans="1:24" x14ac:dyDescent="0.3">
      <c r="A12" s="4" t="s">
        <v>52</v>
      </c>
      <c r="B12" s="13">
        <v>46276</v>
      </c>
      <c r="C12" s="5" t="s">
        <v>53</v>
      </c>
      <c r="D12" s="5" t="s">
        <v>54</v>
      </c>
      <c r="E12" s="5" t="s">
        <v>43</v>
      </c>
      <c r="F12" s="5" t="s">
        <v>44</v>
      </c>
      <c r="G12" s="5" t="s">
        <v>29</v>
      </c>
      <c r="H12" s="5">
        <v>3</v>
      </c>
      <c r="I12" s="14">
        <v>1800</v>
      </c>
      <c r="J12" s="15">
        <v>0.05</v>
      </c>
      <c r="K12" s="6" t="s">
        <v>23</v>
      </c>
      <c r="M12" s="1">
        <f t="shared" si="0"/>
        <v>5400</v>
      </c>
      <c r="N12" s="1">
        <f t="shared" si="1"/>
        <v>270</v>
      </c>
      <c r="O12" s="1">
        <f t="shared" si="3"/>
        <v>5130</v>
      </c>
      <c r="P12" s="1"/>
      <c r="Q12" t="str">
        <f t="shared" si="2"/>
        <v>NORMAL</v>
      </c>
      <c r="R12" t="str">
        <f t="shared" si="4"/>
        <v>C00</v>
      </c>
      <c r="S12" t="str">
        <f t="shared" si="5"/>
        <v>02</v>
      </c>
      <c r="T12">
        <f t="shared" si="6"/>
        <v>5</v>
      </c>
      <c r="U12" t="str">
        <f t="shared" si="7"/>
        <v>RAHUL</v>
      </c>
      <c r="W12" t="s">
        <v>29</v>
      </c>
      <c r="X12">
        <f t="shared" si="9"/>
        <v>4</v>
      </c>
    </row>
    <row r="13" spans="1:24" x14ac:dyDescent="0.3">
      <c r="A13" s="4" t="s">
        <v>55</v>
      </c>
      <c r="B13" s="13">
        <v>46277</v>
      </c>
      <c r="C13" s="5" t="s">
        <v>56</v>
      </c>
      <c r="D13" s="5" t="s">
        <v>57</v>
      </c>
      <c r="E13" s="5" t="s">
        <v>58</v>
      </c>
      <c r="F13" s="5" t="s">
        <v>59</v>
      </c>
      <c r="G13" s="5" t="s">
        <v>16</v>
      </c>
      <c r="H13" s="5">
        <v>1</v>
      </c>
      <c r="I13" s="14">
        <v>14500</v>
      </c>
      <c r="J13" s="15">
        <v>0</v>
      </c>
      <c r="K13" s="6" t="s">
        <v>41</v>
      </c>
      <c r="M13" s="1">
        <f t="shared" si="0"/>
        <v>14500</v>
      </c>
      <c r="N13" s="1">
        <f t="shared" si="1"/>
        <v>0</v>
      </c>
      <c r="O13" s="1">
        <f t="shared" si="3"/>
        <v>14500</v>
      </c>
      <c r="P13" s="1"/>
      <c r="Q13" t="str">
        <f t="shared" si="2"/>
        <v>NORMAL</v>
      </c>
      <c r="R13" t="str">
        <f t="shared" si="4"/>
        <v>C00</v>
      </c>
      <c r="S13" t="str">
        <f t="shared" si="5"/>
        <v>07</v>
      </c>
      <c r="T13">
        <f t="shared" si="6"/>
        <v>5</v>
      </c>
      <c r="U13" t="str">
        <f t="shared" si="7"/>
        <v>DIVYA</v>
      </c>
    </row>
    <row r="14" spans="1:24" x14ac:dyDescent="0.3">
      <c r="A14" s="4" t="s">
        <v>60</v>
      </c>
      <c r="B14" s="13">
        <v>46278</v>
      </c>
      <c r="C14" s="5" t="s">
        <v>36</v>
      </c>
      <c r="D14" s="5" t="s">
        <v>37</v>
      </c>
      <c r="E14" s="5" t="s">
        <v>43</v>
      </c>
      <c r="F14" s="5" t="s">
        <v>44</v>
      </c>
      <c r="G14" s="5" t="s">
        <v>29</v>
      </c>
      <c r="H14" s="5">
        <v>1</v>
      </c>
      <c r="I14" s="14">
        <v>1800</v>
      </c>
      <c r="J14" s="15">
        <v>0</v>
      </c>
      <c r="K14" s="6" t="s">
        <v>23</v>
      </c>
      <c r="M14" s="1">
        <f t="shared" si="0"/>
        <v>1800</v>
      </c>
      <c r="N14" s="1">
        <f t="shared" si="1"/>
        <v>0</v>
      </c>
      <c r="O14" s="1">
        <f t="shared" si="3"/>
        <v>1800</v>
      </c>
      <c r="P14" s="1"/>
      <c r="Q14" t="str">
        <f t="shared" si="2"/>
        <v>NORMAL</v>
      </c>
      <c r="R14" t="str">
        <f t="shared" si="4"/>
        <v>C00</v>
      </c>
      <c r="S14" t="str">
        <f t="shared" si="5"/>
        <v>05</v>
      </c>
      <c r="T14">
        <f t="shared" si="6"/>
        <v>5</v>
      </c>
      <c r="U14" t="str">
        <f t="shared" si="7"/>
        <v>SNEHA</v>
      </c>
    </row>
    <row r="15" spans="1:24" x14ac:dyDescent="0.3">
      <c r="A15" s="4" t="s">
        <v>61</v>
      </c>
      <c r="B15" s="13">
        <v>46279</v>
      </c>
      <c r="C15" s="5" t="s">
        <v>56</v>
      </c>
      <c r="D15" s="5" t="s">
        <v>57</v>
      </c>
      <c r="E15" s="5" t="s">
        <v>43</v>
      </c>
      <c r="F15" s="5" t="s">
        <v>44</v>
      </c>
      <c r="G15" s="5" t="s">
        <v>29</v>
      </c>
      <c r="H15" s="5">
        <v>3</v>
      </c>
      <c r="I15" s="14">
        <v>1800</v>
      </c>
      <c r="J15" s="15">
        <v>0.05</v>
      </c>
      <c r="K15" s="6" t="s">
        <v>17</v>
      </c>
      <c r="M15" s="1">
        <f t="shared" si="0"/>
        <v>5400</v>
      </c>
      <c r="N15" s="1">
        <f t="shared" si="1"/>
        <v>270</v>
      </c>
      <c r="O15" s="1">
        <f t="shared" si="3"/>
        <v>5130</v>
      </c>
      <c r="P15" s="1"/>
      <c r="Q15" t="str">
        <f t="shared" si="2"/>
        <v>NORMAL</v>
      </c>
      <c r="R15" t="str">
        <f t="shared" si="4"/>
        <v>C00</v>
      </c>
      <c r="S15" t="str">
        <f t="shared" si="5"/>
        <v>07</v>
      </c>
      <c r="T15">
        <f t="shared" si="6"/>
        <v>5</v>
      </c>
      <c r="U15" t="str">
        <f t="shared" si="7"/>
        <v>DIVYA</v>
      </c>
    </row>
    <row r="16" spans="1:24" x14ac:dyDescent="0.3">
      <c r="A16" s="4" t="s">
        <v>62</v>
      </c>
      <c r="B16" s="13">
        <v>46280</v>
      </c>
      <c r="C16" s="5" t="s">
        <v>53</v>
      </c>
      <c r="D16" s="5" t="s">
        <v>54</v>
      </c>
      <c r="E16" s="5" t="s">
        <v>21</v>
      </c>
      <c r="F16" s="5" t="s">
        <v>22</v>
      </c>
      <c r="G16" s="5" t="s">
        <v>16</v>
      </c>
      <c r="H16" s="5">
        <v>2</v>
      </c>
      <c r="I16" s="14">
        <v>12500</v>
      </c>
      <c r="J16" s="15">
        <v>0.05</v>
      </c>
      <c r="K16" s="6" t="s">
        <v>34</v>
      </c>
      <c r="M16" s="1">
        <f t="shared" si="0"/>
        <v>25000</v>
      </c>
      <c r="N16" s="1">
        <f t="shared" si="1"/>
        <v>1250</v>
      </c>
      <c r="O16" s="1">
        <f t="shared" si="3"/>
        <v>23750</v>
      </c>
      <c r="P16" s="1"/>
      <c r="Q16" t="str">
        <f t="shared" si="2"/>
        <v>HIGH</v>
      </c>
      <c r="R16" t="str">
        <f t="shared" si="4"/>
        <v>C00</v>
      </c>
      <c r="S16" t="str">
        <f t="shared" si="5"/>
        <v>02</v>
      </c>
      <c r="T16">
        <f t="shared" si="6"/>
        <v>5</v>
      </c>
      <c r="U16" t="str">
        <f t="shared" si="7"/>
        <v>RAHUL</v>
      </c>
    </row>
    <row r="17" spans="1:21" x14ac:dyDescent="0.3">
      <c r="A17" s="4" t="s">
        <v>63</v>
      </c>
      <c r="B17" s="13">
        <v>46281</v>
      </c>
      <c r="C17" s="5" t="s">
        <v>56</v>
      </c>
      <c r="D17" s="5" t="s">
        <v>57</v>
      </c>
      <c r="E17" s="5" t="s">
        <v>64</v>
      </c>
      <c r="F17" s="5" t="s">
        <v>65</v>
      </c>
      <c r="G17" s="5" t="s">
        <v>48</v>
      </c>
      <c r="H17" s="5">
        <v>4</v>
      </c>
      <c r="I17" s="14">
        <v>900</v>
      </c>
      <c r="J17" s="15">
        <v>0.05</v>
      </c>
      <c r="K17" s="6" t="s">
        <v>34</v>
      </c>
      <c r="M17" s="1">
        <f t="shared" si="0"/>
        <v>3600</v>
      </c>
      <c r="N17" s="1">
        <f t="shared" si="1"/>
        <v>180</v>
      </c>
      <c r="O17" s="1">
        <f t="shared" si="3"/>
        <v>3420</v>
      </c>
      <c r="P17" s="1"/>
      <c r="Q17" t="str">
        <f t="shared" si="2"/>
        <v>NORMAL</v>
      </c>
      <c r="R17" t="str">
        <f t="shared" si="4"/>
        <v>C00</v>
      </c>
      <c r="S17" t="str">
        <f t="shared" si="5"/>
        <v>07</v>
      </c>
      <c r="T17">
        <f t="shared" si="6"/>
        <v>5</v>
      </c>
      <c r="U17" t="str">
        <f t="shared" si="7"/>
        <v>DIVYA</v>
      </c>
    </row>
    <row r="18" spans="1:21" x14ac:dyDescent="0.3">
      <c r="A18" s="4" t="s">
        <v>66</v>
      </c>
      <c r="B18" s="13">
        <v>46282</v>
      </c>
      <c r="C18" s="5" t="s">
        <v>39</v>
      </c>
      <c r="D18" s="5" t="s">
        <v>40</v>
      </c>
      <c r="E18" s="5" t="s">
        <v>43</v>
      </c>
      <c r="F18" s="5" t="s">
        <v>44</v>
      </c>
      <c r="G18" s="5" t="s">
        <v>29</v>
      </c>
      <c r="H18" s="5">
        <v>5</v>
      </c>
      <c r="I18" s="14">
        <v>1800</v>
      </c>
      <c r="J18" s="15">
        <v>0.05</v>
      </c>
      <c r="K18" s="6" t="s">
        <v>17</v>
      </c>
      <c r="M18" s="1">
        <f t="shared" si="0"/>
        <v>9000</v>
      </c>
      <c r="N18" s="1">
        <f t="shared" si="1"/>
        <v>450</v>
      </c>
      <c r="O18" s="1">
        <f t="shared" si="3"/>
        <v>8550</v>
      </c>
      <c r="P18" s="1"/>
      <c r="Q18" t="str">
        <f t="shared" si="2"/>
        <v>NORMAL</v>
      </c>
      <c r="R18" t="str">
        <f t="shared" si="4"/>
        <v>C00</v>
      </c>
      <c r="S18" t="str">
        <f t="shared" si="5"/>
        <v>03</v>
      </c>
      <c r="T18">
        <f t="shared" si="6"/>
        <v>6</v>
      </c>
      <c r="U18" t="str">
        <f t="shared" si="7"/>
        <v>ANANYA</v>
      </c>
    </row>
    <row r="19" spans="1:21" x14ac:dyDescent="0.3">
      <c r="A19" s="4" t="s">
        <v>67</v>
      </c>
      <c r="B19" s="13">
        <v>46283</v>
      </c>
      <c r="C19" s="5" t="s">
        <v>36</v>
      </c>
      <c r="D19" s="5" t="s">
        <v>37</v>
      </c>
      <c r="E19" s="5" t="s">
        <v>21</v>
      </c>
      <c r="F19" s="5" t="s">
        <v>22</v>
      </c>
      <c r="G19" s="5" t="s">
        <v>16</v>
      </c>
      <c r="H19" s="5">
        <v>3</v>
      </c>
      <c r="I19" s="14">
        <v>12500</v>
      </c>
      <c r="J19" s="15">
        <v>0.05</v>
      </c>
      <c r="K19" s="6" t="s">
        <v>23</v>
      </c>
      <c r="M19" s="1">
        <f t="shared" si="0"/>
        <v>37500</v>
      </c>
      <c r="N19" s="1">
        <f t="shared" si="1"/>
        <v>1875</v>
      </c>
      <c r="O19" s="1">
        <f t="shared" si="3"/>
        <v>35625</v>
      </c>
      <c r="P19" s="1"/>
      <c r="Q19" t="str">
        <f t="shared" si="2"/>
        <v>HIGH</v>
      </c>
      <c r="R19" t="str">
        <f t="shared" si="4"/>
        <v>C00</v>
      </c>
      <c r="S19" t="str">
        <f t="shared" si="5"/>
        <v>05</v>
      </c>
      <c r="T19">
        <f t="shared" si="6"/>
        <v>5</v>
      </c>
      <c r="U19" t="str">
        <f t="shared" si="7"/>
        <v>SNEHA</v>
      </c>
    </row>
    <row r="20" spans="1:21" x14ac:dyDescent="0.3">
      <c r="A20" s="4" t="s">
        <v>68</v>
      </c>
      <c r="B20" s="13">
        <v>46284</v>
      </c>
      <c r="C20" s="5" t="s">
        <v>39</v>
      </c>
      <c r="D20" s="5" t="s">
        <v>40</v>
      </c>
      <c r="E20" s="5" t="s">
        <v>21</v>
      </c>
      <c r="F20" s="5" t="s">
        <v>22</v>
      </c>
      <c r="G20" s="5" t="s">
        <v>16</v>
      </c>
      <c r="H20" s="5">
        <v>3</v>
      </c>
      <c r="I20" s="14">
        <v>12500</v>
      </c>
      <c r="J20" s="15">
        <v>0.1</v>
      </c>
      <c r="K20" s="6" t="s">
        <v>41</v>
      </c>
      <c r="M20" s="1">
        <f t="shared" si="0"/>
        <v>37500</v>
      </c>
      <c r="N20" s="1">
        <f t="shared" si="1"/>
        <v>3750</v>
      </c>
      <c r="O20" s="1">
        <f t="shared" si="3"/>
        <v>33750</v>
      </c>
      <c r="P20" s="1"/>
      <c r="Q20" t="str">
        <f t="shared" si="2"/>
        <v>HIGH</v>
      </c>
      <c r="R20" t="str">
        <f t="shared" si="4"/>
        <v>C00</v>
      </c>
      <c r="S20" t="str">
        <f t="shared" si="5"/>
        <v>03</v>
      </c>
      <c r="T20">
        <f t="shared" si="6"/>
        <v>6</v>
      </c>
      <c r="U20" t="str">
        <f t="shared" si="7"/>
        <v>ANANYA</v>
      </c>
    </row>
    <row r="21" spans="1:21" x14ac:dyDescent="0.3">
      <c r="A21" s="4" t="s">
        <v>69</v>
      </c>
      <c r="B21" s="13">
        <v>46285</v>
      </c>
      <c r="C21" s="5" t="s">
        <v>19</v>
      </c>
      <c r="D21" s="5" t="s">
        <v>20</v>
      </c>
      <c r="E21" s="5" t="s">
        <v>14</v>
      </c>
      <c r="F21" s="5" t="s">
        <v>15</v>
      </c>
      <c r="G21" s="5" t="s">
        <v>16</v>
      </c>
      <c r="H21" s="5">
        <v>5</v>
      </c>
      <c r="I21" s="14">
        <v>55000</v>
      </c>
      <c r="J21" s="15">
        <v>0</v>
      </c>
      <c r="K21" s="6" t="s">
        <v>34</v>
      </c>
      <c r="M21" s="1">
        <f t="shared" si="0"/>
        <v>275000</v>
      </c>
      <c r="N21" s="1">
        <f t="shared" si="1"/>
        <v>0</v>
      </c>
      <c r="O21" s="1">
        <f t="shared" si="3"/>
        <v>275000</v>
      </c>
      <c r="P21" s="1"/>
      <c r="Q21" t="str">
        <f t="shared" si="2"/>
        <v>HIGH</v>
      </c>
      <c r="R21" t="str">
        <f t="shared" si="4"/>
        <v>C00</v>
      </c>
      <c r="S21" t="str">
        <f t="shared" si="5"/>
        <v>04</v>
      </c>
      <c r="T21">
        <f t="shared" si="6"/>
        <v>5</v>
      </c>
      <c r="U21" t="str">
        <f t="shared" si="7"/>
        <v>KIRAN</v>
      </c>
    </row>
    <row r="22" spans="1:21" x14ac:dyDescent="0.3">
      <c r="A22" s="4" t="s">
        <v>70</v>
      </c>
      <c r="B22" s="13">
        <v>46286</v>
      </c>
      <c r="C22" s="5" t="s">
        <v>50</v>
      </c>
      <c r="D22" s="5" t="s">
        <v>51</v>
      </c>
      <c r="E22" s="5" t="s">
        <v>58</v>
      </c>
      <c r="F22" s="5" t="s">
        <v>59</v>
      </c>
      <c r="G22" s="5" t="s">
        <v>16</v>
      </c>
      <c r="H22" s="5">
        <v>1</v>
      </c>
      <c r="I22" s="14">
        <v>14500</v>
      </c>
      <c r="J22" s="15">
        <v>0.1</v>
      </c>
      <c r="K22" s="6" t="s">
        <v>41</v>
      </c>
      <c r="M22" s="1">
        <f t="shared" si="0"/>
        <v>14500</v>
      </c>
      <c r="N22" s="1">
        <f t="shared" si="1"/>
        <v>1450</v>
      </c>
      <c r="O22" s="1">
        <f t="shared" si="3"/>
        <v>13050</v>
      </c>
      <c r="P22" s="1"/>
      <c r="Q22" t="str">
        <f t="shared" si="2"/>
        <v>NORMAL</v>
      </c>
      <c r="R22" t="str">
        <f t="shared" si="4"/>
        <v>C00</v>
      </c>
      <c r="S22" t="str">
        <f t="shared" si="5"/>
        <v>06</v>
      </c>
      <c r="T22">
        <f t="shared" si="6"/>
        <v>5</v>
      </c>
      <c r="U22" t="str">
        <f t="shared" si="7"/>
        <v>ARJUN</v>
      </c>
    </row>
    <row r="23" spans="1:21" x14ac:dyDescent="0.3">
      <c r="A23" s="4" t="s">
        <v>71</v>
      </c>
      <c r="B23" s="13">
        <v>46287</v>
      </c>
      <c r="C23" s="5" t="s">
        <v>56</v>
      </c>
      <c r="D23" s="5" t="s">
        <v>57</v>
      </c>
      <c r="E23" s="5" t="s">
        <v>43</v>
      </c>
      <c r="F23" s="5" t="s">
        <v>44</v>
      </c>
      <c r="G23" s="5" t="s">
        <v>29</v>
      </c>
      <c r="H23" s="5">
        <v>2</v>
      </c>
      <c r="I23" s="14">
        <v>1800</v>
      </c>
      <c r="J23" s="15">
        <v>0.15</v>
      </c>
      <c r="K23" s="6" t="s">
        <v>41</v>
      </c>
      <c r="M23" s="1">
        <f t="shared" si="0"/>
        <v>3600</v>
      </c>
      <c r="N23" s="1">
        <f t="shared" si="1"/>
        <v>540</v>
      </c>
      <c r="O23" s="1">
        <f t="shared" si="3"/>
        <v>3060</v>
      </c>
      <c r="P23" s="1"/>
      <c r="Q23" t="str">
        <f t="shared" si="2"/>
        <v>NORMAL</v>
      </c>
      <c r="R23" t="str">
        <f t="shared" si="4"/>
        <v>C00</v>
      </c>
      <c r="S23" t="str">
        <f t="shared" si="5"/>
        <v>07</v>
      </c>
      <c r="T23">
        <f t="shared" si="6"/>
        <v>5</v>
      </c>
      <c r="U23" t="str">
        <f t="shared" si="7"/>
        <v>DIVYA</v>
      </c>
    </row>
    <row r="24" spans="1:21" x14ac:dyDescent="0.3">
      <c r="A24" s="4" t="s">
        <v>72</v>
      </c>
      <c r="B24" s="13">
        <v>46288</v>
      </c>
      <c r="C24" s="5" t="s">
        <v>19</v>
      </c>
      <c r="D24" s="5" t="s">
        <v>20</v>
      </c>
      <c r="E24" s="5" t="s">
        <v>27</v>
      </c>
      <c r="F24" s="5" t="s">
        <v>28</v>
      </c>
      <c r="G24" s="5" t="s">
        <v>29</v>
      </c>
      <c r="H24" s="5">
        <v>3</v>
      </c>
      <c r="I24" s="14">
        <v>8500</v>
      </c>
      <c r="J24" s="15">
        <v>0.15</v>
      </c>
      <c r="K24" s="6" t="s">
        <v>41</v>
      </c>
      <c r="M24" s="1">
        <f t="shared" si="0"/>
        <v>25500</v>
      </c>
      <c r="N24" s="1">
        <f t="shared" si="1"/>
        <v>3825</v>
      </c>
      <c r="O24" s="1">
        <f t="shared" si="3"/>
        <v>21675</v>
      </c>
      <c r="P24" s="1"/>
      <c r="Q24" t="str">
        <f t="shared" si="2"/>
        <v>HIGH</v>
      </c>
      <c r="R24" t="str">
        <f t="shared" si="4"/>
        <v>C00</v>
      </c>
      <c r="S24" t="str">
        <f t="shared" si="5"/>
        <v>04</v>
      </c>
      <c r="T24">
        <f t="shared" si="6"/>
        <v>5</v>
      </c>
      <c r="U24" t="str">
        <f t="shared" si="7"/>
        <v>KIRAN</v>
      </c>
    </row>
    <row r="25" spans="1:21" x14ac:dyDescent="0.3">
      <c r="A25" s="4" t="s">
        <v>73</v>
      </c>
      <c r="B25" s="13">
        <v>46289</v>
      </c>
      <c r="C25" s="5" t="s">
        <v>53</v>
      </c>
      <c r="D25" s="5" t="s">
        <v>54</v>
      </c>
      <c r="E25" s="5" t="s">
        <v>74</v>
      </c>
      <c r="F25" s="5" t="s">
        <v>75</v>
      </c>
      <c r="G25" s="5" t="s">
        <v>48</v>
      </c>
      <c r="H25" s="5">
        <v>4</v>
      </c>
      <c r="I25" s="14">
        <v>1800</v>
      </c>
      <c r="J25" s="15">
        <v>0.15</v>
      </c>
      <c r="K25" s="6" t="s">
        <v>41</v>
      </c>
      <c r="M25" s="1">
        <f t="shared" si="0"/>
        <v>7200</v>
      </c>
      <c r="N25" s="1">
        <f t="shared" si="1"/>
        <v>1080</v>
      </c>
      <c r="O25" s="1">
        <f t="shared" si="3"/>
        <v>6120</v>
      </c>
      <c r="P25" s="1"/>
      <c r="Q25" t="str">
        <f t="shared" si="2"/>
        <v>NORMAL</v>
      </c>
      <c r="R25" t="str">
        <f t="shared" si="4"/>
        <v>C00</v>
      </c>
      <c r="S25" t="str">
        <f t="shared" si="5"/>
        <v>02</v>
      </c>
      <c r="T25">
        <f t="shared" si="6"/>
        <v>5</v>
      </c>
      <c r="U25" t="str">
        <f t="shared" si="7"/>
        <v>RAHUL</v>
      </c>
    </row>
    <row r="26" spans="1:21" x14ac:dyDescent="0.3">
      <c r="A26" s="4" t="s">
        <v>76</v>
      </c>
      <c r="B26" s="13">
        <v>46290</v>
      </c>
      <c r="C26" s="5" t="s">
        <v>39</v>
      </c>
      <c r="D26" s="5" t="s">
        <v>40</v>
      </c>
      <c r="E26" s="5" t="s">
        <v>64</v>
      </c>
      <c r="F26" s="5" t="s">
        <v>65</v>
      </c>
      <c r="G26" s="5" t="s">
        <v>48</v>
      </c>
      <c r="H26" s="5">
        <v>5</v>
      </c>
      <c r="I26" s="14">
        <v>900</v>
      </c>
      <c r="J26" s="15">
        <v>0.1</v>
      </c>
      <c r="K26" s="6" t="s">
        <v>41</v>
      </c>
      <c r="M26" s="1">
        <f t="shared" si="0"/>
        <v>4500</v>
      </c>
      <c r="N26" s="1">
        <f t="shared" si="1"/>
        <v>450</v>
      </c>
      <c r="O26" s="1">
        <f t="shared" si="3"/>
        <v>4050</v>
      </c>
      <c r="P26" s="1"/>
      <c r="Q26" t="str">
        <f t="shared" si="2"/>
        <v>NORMAL</v>
      </c>
      <c r="R26" t="str">
        <f t="shared" si="4"/>
        <v>C00</v>
      </c>
      <c r="S26" t="str">
        <f t="shared" si="5"/>
        <v>03</v>
      </c>
      <c r="T26">
        <f t="shared" si="6"/>
        <v>6</v>
      </c>
      <c r="U26" t="str">
        <f t="shared" si="7"/>
        <v>ANANYA</v>
      </c>
    </row>
    <row r="27" spans="1:21" x14ac:dyDescent="0.3">
      <c r="A27" s="4" t="s">
        <v>77</v>
      </c>
      <c r="B27" s="13">
        <v>46291</v>
      </c>
      <c r="C27" s="5" t="s">
        <v>78</v>
      </c>
      <c r="D27" s="5" t="s">
        <v>79</v>
      </c>
      <c r="E27" s="5" t="s">
        <v>74</v>
      </c>
      <c r="F27" s="5" t="s">
        <v>75</v>
      </c>
      <c r="G27" s="5" t="s">
        <v>48</v>
      </c>
      <c r="H27" s="5">
        <v>5</v>
      </c>
      <c r="I27" s="14">
        <v>1800</v>
      </c>
      <c r="J27" s="15">
        <v>0.15</v>
      </c>
      <c r="K27" s="6" t="s">
        <v>17</v>
      </c>
      <c r="M27" s="1">
        <f t="shared" si="0"/>
        <v>9000</v>
      </c>
      <c r="N27" s="1">
        <f t="shared" si="1"/>
        <v>1350</v>
      </c>
      <c r="O27" s="1">
        <f t="shared" si="3"/>
        <v>7650</v>
      </c>
      <c r="P27" s="1"/>
      <c r="Q27" t="str">
        <f t="shared" si="2"/>
        <v>NORMAL</v>
      </c>
      <c r="R27" t="str">
        <f t="shared" si="4"/>
        <v>C00</v>
      </c>
      <c r="S27" t="str">
        <f t="shared" si="5"/>
        <v>08</v>
      </c>
      <c r="T27">
        <f t="shared" si="6"/>
        <v>6</v>
      </c>
      <c r="U27" t="str">
        <f t="shared" si="7"/>
        <v>VIKRAM</v>
      </c>
    </row>
    <row r="28" spans="1:21" x14ac:dyDescent="0.3">
      <c r="A28" s="4" t="s">
        <v>80</v>
      </c>
      <c r="B28" s="13">
        <v>46292</v>
      </c>
      <c r="C28" s="5" t="s">
        <v>56</v>
      </c>
      <c r="D28" s="5" t="s">
        <v>57</v>
      </c>
      <c r="E28" s="5" t="s">
        <v>14</v>
      </c>
      <c r="F28" s="5" t="s">
        <v>15</v>
      </c>
      <c r="G28" s="5" t="s">
        <v>16</v>
      </c>
      <c r="H28" s="5">
        <v>1</v>
      </c>
      <c r="I28" s="14">
        <v>55000</v>
      </c>
      <c r="J28" s="15">
        <v>0.15</v>
      </c>
      <c r="K28" s="6" t="s">
        <v>17</v>
      </c>
      <c r="M28" s="1">
        <f t="shared" si="0"/>
        <v>55000</v>
      </c>
      <c r="N28" s="1">
        <f t="shared" si="1"/>
        <v>8250</v>
      </c>
      <c r="O28" s="1">
        <f t="shared" si="3"/>
        <v>46750</v>
      </c>
      <c r="P28" s="1"/>
      <c r="Q28" t="str">
        <f t="shared" si="2"/>
        <v>HIGH</v>
      </c>
      <c r="R28" t="str">
        <f t="shared" si="4"/>
        <v>C00</v>
      </c>
      <c r="S28" t="str">
        <f t="shared" si="5"/>
        <v>07</v>
      </c>
      <c r="T28">
        <f t="shared" si="6"/>
        <v>5</v>
      </c>
      <c r="U28" t="str">
        <f t="shared" si="7"/>
        <v>DIVYA</v>
      </c>
    </row>
    <row r="29" spans="1:21" x14ac:dyDescent="0.3">
      <c r="A29" s="4" t="s">
        <v>81</v>
      </c>
      <c r="B29" s="13">
        <v>46293</v>
      </c>
      <c r="C29" s="5" t="s">
        <v>25</v>
      </c>
      <c r="D29" s="5" t="s">
        <v>26</v>
      </c>
      <c r="E29" s="5" t="s">
        <v>31</v>
      </c>
      <c r="F29" s="5" t="s">
        <v>32</v>
      </c>
      <c r="G29" s="5" t="s">
        <v>16</v>
      </c>
      <c r="H29" s="5">
        <v>1</v>
      </c>
      <c r="I29" s="14">
        <v>3200</v>
      </c>
      <c r="J29" s="15">
        <v>0.05</v>
      </c>
      <c r="K29" s="6" t="s">
        <v>17</v>
      </c>
      <c r="M29" s="1">
        <f t="shared" si="0"/>
        <v>3200</v>
      </c>
      <c r="N29" s="1">
        <f t="shared" si="1"/>
        <v>160</v>
      </c>
      <c r="O29" s="1">
        <f t="shared" si="3"/>
        <v>3040</v>
      </c>
      <c r="P29" s="1"/>
      <c r="Q29" t="str">
        <f t="shared" si="2"/>
        <v>NORMAL</v>
      </c>
      <c r="R29" t="str">
        <f t="shared" si="4"/>
        <v>C00</v>
      </c>
      <c r="S29" t="str">
        <f t="shared" si="5"/>
        <v>01</v>
      </c>
      <c r="T29">
        <f t="shared" si="6"/>
        <v>8</v>
      </c>
      <c r="U29" t="str">
        <f t="shared" si="7"/>
        <v>POOJITHA</v>
      </c>
    </row>
    <row r="30" spans="1:21" x14ac:dyDescent="0.3">
      <c r="A30" s="4" t="s">
        <v>82</v>
      </c>
      <c r="B30" s="13">
        <v>46294</v>
      </c>
      <c r="C30" s="5" t="s">
        <v>12</v>
      </c>
      <c r="D30" s="5" t="s">
        <v>13</v>
      </c>
      <c r="E30" s="5" t="s">
        <v>21</v>
      </c>
      <c r="F30" s="5" t="s">
        <v>22</v>
      </c>
      <c r="G30" s="5" t="s">
        <v>16</v>
      </c>
      <c r="H30" s="5">
        <v>4</v>
      </c>
      <c r="I30" s="14">
        <v>12500</v>
      </c>
      <c r="J30" s="15">
        <v>0.05</v>
      </c>
      <c r="K30" s="6" t="s">
        <v>41</v>
      </c>
      <c r="M30" s="1">
        <f t="shared" si="0"/>
        <v>50000</v>
      </c>
      <c r="N30" s="1">
        <f t="shared" si="1"/>
        <v>2500</v>
      </c>
      <c r="O30" s="1">
        <f t="shared" si="3"/>
        <v>47500</v>
      </c>
      <c r="P30" s="1"/>
      <c r="Q30" t="str">
        <f t="shared" si="2"/>
        <v>HIGH</v>
      </c>
      <c r="R30" t="str">
        <f t="shared" si="4"/>
        <v>C01</v>
      </c>
      <c r="S30" t="str">
        <f t="shared" si="5"/>
        <v>10</v>
      </c>
      <c r="T30">
        <f t="shared" si="6"/>
        <v>6</v>
      </c>
      <c r="U30" t="str">
        <f t="shared" si="7"/>
        <v>SANJAY</v>
      </c>
    </row>
    <row r="31" spans="1:21" x14ac:dyDescent="0.3">
      <c r="A31" s="7" t="s">
        <v>83</v>
      </c>
      <c r="B31" s="16">
        <v>46295</v>
      </c>
      <c r="C31" s="8" t="s">
        <v>56</v>
      </c>
      <c r="D31" s="8" t="s">
        <v>57</v>
      </c>
      <c r="E31" s="8" t="s">
        <v>27</v>
      </c>
      <c r="F31" s="8" t="s">
        <v>28</v>
      </c>
      <c r="G31" s="8" t="s">
        <v>29</v>
      </c>
      <c r="H31" s="8">
        <v>4</v>
      </c>
      <c r="I31" s="17">
        <v>8500</v>
      </c>
      <c r="J31" s="18">
        <v>0.1</v>
      </c>
      <c r="K31" s="9" t="s">
        <v>34</v>
      </c>
      <c r="M31" s="1">
        <f t="shared" si="0"/>
        <v>34000</v>
      </c>
      <c r="N31" s="1">
        <f t="shared" si="1"/>
        <v>3400</v>
      </c>
      <c r="O31" s="1">
        <f t="shared" si="3"/>
        <v>30600</v>
      </c>
      <c r="P31" s="1"/>
      <c r="Q31" t="str">
        <f t="shared" si="2"/>
        <v>HIGH</v>
      </c>
      <c r="R31" t="str">
        <f t="shared" si="4"/>
        <v>C00</v>
      </c>
      <c r="S31" t="str">
        <f t="shared" si="5"/>
        <v>07</v>
      </c>
      <c r="T31">
        <f t="shared" si="6"/>
        <v>5</v>
      </c>
      <c r="U31" t="str">
        <f t="shared" si="7"/>
        <v>DIVYA</v>
      </c>
    </row>
    <row r="32" spans="1:21" x14ac:dyDescent="0.3">
      <c r="M32" s="1"/>
    </row>
    <row r="39" spans="2:2" x14ac:dyDescent="0.3">
      <c r="B39" t="s">
        <v>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D848-1290-4DD7-B084-D548A636D720}">
  <dimension ref="B2:C50"/>
  <sheetViews>
    <sheetView tabSelected="1" topLeftCell="A14" workbookViewId="0">
      <selection activeCell="N41" sqref="N41"/>
    </sheetView>
  </sheetViews>
  <sheetFormatPr defaultRowHeight="14.4" x14ac:dyDescent="0.3"/>
  <sheetData>
    <row r="2" spans="2:3" ht="18" x14ac:dyDescent="0.35">
      <c r="B2" s="21" t="s">
        <v>97</v>
      </c>
    </row>
    <row r="4" spans="2:3" x14ac:dyDescent="0.3">
      <c r="C4" s="20" t="s">
        <v>98</v>
      </c>
    </row>
    <row r="5" spans="2:3" x14ac:dyDescent="0.3">
      <c r="C5" s="3" t="s">
        <v>118</v>
      </c>
    </row>
    <row r="7" spans="2:3" x14ac:dyDescent="0.3">
      <c r="C7" s="20" t="s">
        <v>100</v>
      </c>
    </row>
    <row r="8" spans="2:3" x14ac:dyDescent="0.3">
      <c r="C8" s="3" t="s">
        <v>119</v>
      </c>
    </row>
    <row r="10" spans="2:3" ht="18" x14ac:dyDescent="0.35">
      <c r="B10" s="21" t="s">
        <v>121</v>
      </c>
    </row>
    <row r="12" spans="2:3" x14ac:dyDescent="0.3">
      <c r="C12" s="3" t="s">
        <v>102</v>
      </c>
    </row>
    <row r="13" spans="2:3" x14ac:dyDescent="0.3">
      <c r="C13" s="3" t="s">
        <v>120</v>
      </c>
    </row>
    <row r="15" spans="2:3" x14ac:dyDescent="0.3">
      <c r="C15" s="3" t="s">
        <v>103</v>
      </c>
    </row>
    <row r="16" spans="2:3" x14ac:dyDescent="0.3">
      <c r="C16" s="3" t="s">
        <v>122</v>
      </c>
    </row>
    <row r="18" spans="3:3" x14ac:dyDescent="0.3">
      <c r="C18" s="20" t="s">
        <v>104</v>
      </c>
    </row>
    <row r="19" spans="3:3" x14ac:dyDescent="0.3">
      <c r="C19" s="3" t="s">
        <v>105</v>
      </c>
    </row>
    <row r="21" spans="3:3" x14ac:dyDescent="0.3">
      <c r="C21" s="20" t="s">
        <v>106</v>
      </c>
    </row>
    <row r="22" spans="3:3" x14ac:dyDescent="0.3">
      <c r="C22" s="3" t="s">
        <v>107</v>
      </c>
    </row>
    <row r="24" spans="3:3" x14ac:dyDescent="0.3">
      <c r="C24" s="20" t="s">
        <v>108</v>
      </c>
    </row>
    <row r="25" spans="3:3" x14ac:dyDescent="0.3">
      <c r="C25" s="3" t="s">
        <v>109</v>
      </c>
    </row>
    <row r="27" spans="3:3" x14ac:dyDescent="0.3">
      <c r="C27" s="20" t="s">
        <v>110</v>
      </c>
    </row>
    <row r="28" spans="3:3" x14ac:dyDescent="0.3">
      <c r="C28" s="3" t="s">
        <v>111</v>
      </c>
    </row>
    <row r="30" spans="3:3" x14ac:dyDescent="0.3">
      <c r="C30" s="20" t="s">
        <v>112</v>
      </c>
    </row>
    <row r="31" spans="3:3" x14ac:dyDescent="0.3">
      <c r="C31" s="3" t="s">
        <v>113</v>
      </c>
    </row>
    <row r="33" spans="2:3" ht="18" x14ac:dyDescent="0.3">
      <c r="C33" s="19" t="s">
        <v>114</v>
      </c>
    </row>
    <row r="34" spans="2:3" x14ac:dyDescent="0.3">
      <c r="C34" s="3" t="s">
        <v>115</v>
      </c>
    </row>
    <row r="36" spans="2:3" x14ac:dyDescent="0.3">
      <c r="C36" s="20" t="s">
        <v>116</v>
      </c>
    </row>
    <row r="37" spans="2:3" x14ac:dyDescent="0.3">
      <c r="C37" s="3" t="s">
        <v>117</v>
      </c>
    </row>
    <row r="39" spans="2:3" x14ac:dyDescent="0.3">
      <c r="C39" s="20" t="s">
        <v>129</v>
      </c>
    </row>
    <row r="40" spans="2:3" x14ac:dyDescent="0.3">
      <c r="C40" s="20" t="s">
        <v>130</v>
      </c>
    </row>
    <row r="41" spans="2:3" x14ac:dyDescent="0.3">
      <c r="C41" s="3"/>
    </row>
    <row r="42" spans="2:3" ht="18" x14ac:dyDescent="0.3">
      <c r="B42" s="23" t="s">
        <v>123</v>
      </c>
    </row>
    <row r="44" spans="2:3" x14ac:dyDescent="0.3">
      <c r="B44" s="3" t="s">
        <v>124</v>
      </c>
    </row>
    <row r="46" spans="2:3" x14ac:dyDescent="0.3">
      <c r="B46" s="3" t="s">
        <v>125</v>
      </c>
    </row>
    <row r="47" spans="2:3" x14ac:dyDescent="0.3">
      <c r="B47" s="22"/>
    </row>
    <row r="48" spans="2:3" x14ac:dyDescent="0.3">
      <c r="B48" s="22" t="s">
        <v>126</v>
      </c>
    </row>
    <row r="49" spans="2:2" x14ac:dyDescent="0.3">
      <c r="B49" s="22" t="s">
        <v>127</v>
      </c>
    </row>
    <row r="50" spans="2:2" x14ac:dyDescent="0.3">
      <c r="B50" s="2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Formulas &amp; Functions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2026-09-25T06:02:30Z</dcterms:created>
  <dcterms:modified xsi:type="dcterms:W3CDTF">2026-09-25T09:08:00Z</dcterms:modified>
</cp:coreProperties>
</file>