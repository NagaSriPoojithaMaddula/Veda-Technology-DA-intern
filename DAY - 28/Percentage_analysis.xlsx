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T intern(DA)\Day - 28\"/>
    </mc:Choice>
  </mc:AlternateContent>
  <xr:revisionPtr revIDLastSave="0" documentId="13_ncr:1_{97143B4E-3DF4-46B2-AF62-0FA71602DA62}" xr6:coauthVersionLast="47" xr6:coauthVersionMax="47" xr10:uidLastSave="{00000000-0000-0000-0000-000000000000}"/>
  <bookViews>
    <workbookView xWindow="-108" yWindow="-108" windowWidth="23256" windowHeight="12456" activeTab="1" xr2:uid="{F6984B68-C557-42C7-971A-A5FE4309D5E4}"/>
  </bookViews>
  <sheets>
    <sheet name="Raw_Data" sheetId="1" r:id="rId1"/>
    <sheet name="Percentage_Analysis" sheetId="2" r:id="rId2"/>
  </sheets>
  <definedNames>
    <definedName name="_xlnm._FilterDatabase" localSheetId="0" hidden="1">Raw_Data!$A$1:$L$151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7" i="2"/>
  <c r="D5" i="2"/>
  <c r="D8" i="2" l="1"/>
  <c r="E5" i="2" s="1"/>
  <c r="E6" i="2" l="1"/>
  <c r="E7" i="2"/>
  <c r="E8" i="2" l="1"/>
</calcChain>
</file>

<file path=xl/sharedStrings.xml><?xml version="1.0" encoding="utf-8"?>
<sst xmlns="http://schemas.openxmlformats.org/spreadsheetml/2006/main" count="1232" uniqueCount="361">
  <si>
    <t>Order ID</t>
  </si>
  <si>
    <t>Order Date</t>
  </si>
  <si>
    <t>Region</t>
  </si>
  <si>
    <t>City</t>
  </si>
  <si>
    <t>Segment</t>
  </si>
  <si>
    <t>Category</t>
  </si>
  <si>
    <t>Sub-Category</t>
  </si>
  <si>
    <t>Product Name</t>
  </si>
  <si>
    <t>Quantity</t>
  </si>
  <si>
    <t>Discount</t>
  </si>
  <si>
    <t>Sales</t>
  </si>
  <si>
    <t>Profit</t>
  </si>
  <si>
    <t>ORD-0132</t>
  </si>
  <si>
    <t>2025-01-05</t>
  </si>
  <si>
    <t>South</t>
  </si>
  <si>
    <t>Los Angeles</t>
  </si>
  <si>
    <t>Consumer</t>
  </si>
  <si>
    <t>Furniture</t>
  </si>
  <si>
    <t>Chairs</t>
  </si>
  <si>
    <t>Ergonomic Office Chair</t>
  </si>
  <si>
    <t>ORD-0144</t>
  </si>
  <si>
    <t>2025-01-06</t>
  </si>
  <si>
    <t>West</t>
  </si>
  <si>
    <t>Chicago</t>
  </si>
  <si>
    <t>Technology</t>
  </si>
  <si>
    <t>Phones</t>
  </si>
  <si>
    <t>Cordless Phone</t>
  </si>
  <si>
    <t>ORD-0045</t>
  </si>
  <si>
    <t>2025-01-12</t>
  </si>
  <si>
    <t>Central</t>
  </si>
  <si>
    <t>Dallas</t>
  </si>
  <si>
    <t>Corporate</t>
  </si>
  <si>
    <t>Copiers</t>
  </si>
  <si>
    <t>Multifunction Copier</t>
  </si>
  <si>
    <t>ORD-0071</t>
  </si>
  <si>
    <t>Houston</t>
  </si>
  <si>
    <t>Home Office</t>
  </si>
  <si>
    <t>Desktop Copier</t>
  </si>
  <si>
    <t>ORD-0002</t>
  </si>
  <si>
    <t>2025-01-15</t>
  </si>
  <si>
    <t>Furnishings</t>
  </si>
  <si>
    <t>Desk Lamp</t>
  </si>
  <si>
    <t>ORD-0048</t>
  </si>
  <si>
    <t>Seattle</t>
  </si>
  <si>
    <t>Bookcases</t>
  </si>
  <si>
    <t>Wooden Bookcase</t>
  </si>
  <si>
    <t>ORD-0137</t>
  </si>
  <si>
    <t>East</t>
  </si>
  <si>
    <t>Office Phone</t>
  </si>
  <si>
    <t>ORD-0113</t>
  </si>
  <si>
    <t>New York City</t>
  </si>
  <si>
    <t>Dining Chair</t>
  </si>
  <si>
    <t>ORD-0139</t>
  </si>
  <si>
    <t>2025-01-16</t>
  </si>
  <si>
    <t>Machines</t>
  </si>
  <si>
    <t>Laminator</t>
  </si>
  <si>
    <t>ORD-0067</t>
  </si>
  <si>
    <t>2025-01-19</t>
  </si>
  <si>
    <t>Phoenix</t>
  </si>
  <si>
    <t>Accessories</t>
  </si>
  <si>
    <t>Keyboard</t>
  </si>
  <si>
    <t>ORD-0077</t>
  </si>
  <si>
    <t>2025-01-27</t>
  </si>
  <si>
    <t>Office Supplies</t>
  </si>
  <si>
    <t>Paper</t>
  </si>
  <si>
    <t>Sticky Notes</t>
  </si>
  <si>
    <t>ORD-0143</t>
  </si>
  <si>
    <t>Tables</t>
  </si>
  <si>
    <t>Office Table</t>
  </si>
  <si>
    <t>ORD-0083</t>
  </si>
  <si>
    <t>2025-01-28</t>
  </si>
  <si>
    <t>ORD-0105</t>
  </si>
  <si>
    <t>2025-01-29</t>
  </si>
  <si>
    <t>Wireless Mouse</t>
  </si>
  <si>
    <t>ORD-0030</t>
  </si>
  <si>
    <t>2025-01-30</t>
  </si>
  <si>
    <t>ORD-0023</t>
  </si>
  <si>
    <t>2025-02-02</t>
  </si>
  <si>
    <t>Storage</t>
  </si>
  <si>
    <t>Storage Box</t>
  </si>
  <si>
    <t>ORD-0118</t>
  </si>
  <si>
    <t>2025-02-03</t>
  </si>
  <si>
    <t>Metal Bookcase</t>
  </si>
  <si>
    <t>ORD-0102</t>
  </si>
  <si>
    <t>2025-02-08</t>
  </si>
  <si>
    <t>ORD-0004</t>
  </si>
  <si>
    <t>2025-02-10</t>
  </si>
  <si>
    <t>Copy Paper</t>
  </si>
  <si>
    <t>ORD-0082</t>
  </si>
  <si>
    <t>2025-02-11</t>
  </si>
  <si>
    <t>USB Hub</t>
  </si>
  <si>
    <t>ORD-0075</t>
  </si>
  <si>
    <t>2025-02-14</t>
  </si>
  <si>
    <t>Atlanta</t>
  </si>
  <si>
    <t>Notebook Paper</t>
  </si>
  <si>
    <t>ORD-0084</t>
  </si>
  <si>
    <t>2025-02-15</t>
  </si>
  <si>
    <t>Binders</t>
  </si>
  <si>
    <t>Lever Arch File</t>
  </si>
  <si>
    <t>ORD-0014</t>
  </si>
  <si>
    <t>2025-02-16</t>
  </si>
  <si>
    <t>Wall Clock</t>
  </si>
  <si>
    <t>ORD-0145</t>
  </si>
  <si>
    <t>2025-02-17</t>
  </si>
  <si>
    <t>ORD-0130</t>
  </si>
  <si>
    <t>2025-02-24</t>
  </si>
  <si>
    <t>ORD-0036</t>
  </si>
  <si>
    <t>2025-02-25</t>
  </si>
  <si>
    <t>ORD-0038</t>
  </si>
  <si>
    <t>Webcam</t>
  </si>
  <si>
    <t>ORD-0041</t>
  </si>
  <si>
    <t>2025-02-26</t>
  </si>
  <si>
    <t>Calculator</t>
  </si>
  <si>
    <t>ORD-0086</t>
  </si>
  <si>
    <t>2025-03-03</t>
  </si>
  <si>
    <t>Desk Tray</t>
  </si>
  <si>
    <t>ORD-0040</t>
  </si>
  <si>
    <t>2025-03-09</t>
  </si>
  <si>
    <t>Ring Binder</t>
  </si>
  <si>
    <t>ORD-0115</t>
  </si>
  <si>
    <t>2025-03-13</t>
  </si>
  <si>
    <t>ORD-0142</t>
  </si>
  <si>
    <t>ORD-0046</t>
  </si>
  <si>
    <t>2025-03-17</t>
  </si>
  <si>
    <t>File Organizer</t>
  </si>
  <si>
    <t>ORD-0135</t>
  </si>
  <si>
    <t>ORD-0141</t>
  </si>
  <si>
    <t>2025-03-18</t>
  </si>
  <si>
    <t>Printer</t>
  </si>
  <si>
    <t>ORD-0064</t>
  </si>
  <si>
    <t>2025-03-19</t>
  </si>
  <si>
    <t>ORD-0094</t>
  </si>
  <si>
    <t>ORD-0104</t>
  </si>
  <si>
    <t>2025-03-20</t>
  </si>
  <si>
    <t>ORD-0015</t>
  </si>
  <si>
    <t>2025-03-21</t>
  </si>
  <si>
    <t>ORD-0081</t>
  </si>
  <si>
    <t>2025-03-24</t>
  </si>
  <si>
    <t>Art</t>
  </si>
  <si>
    <t>Color Pencils</t>
  </si>
  <si>
    <t>ORD-0051</t>
  </si>
  <si>
    <t>2025-03-27</t>
  </si>
  <si>
    <t>ORD-0096</t>
  </si>
  <si>
    <t>2025-03-30</t>
  </si>
  <si>
    <t>ORD-0043</t>
  </si>
  <si>
    <t>2025-04-04</t>
  </si>
  <si>
    <t>ORD-0120</t>
  </si>
  <si>
    <t>ORD-0149</t>
  </si>
  <si>
    <t>2025-04-06</t>
  </si>
  <si>
    <t>ORD-0136</t>
  </si>
  <si>
    <t>ORD-0017</t>
  </si>
  <si>
    <t>2025-04-09</t>
  </si>
  <si>
    <t>ORD-0085</t>
  </si>
  <si>
    <t>2025-04-11</t>
  </si>
  <si>
    <t>ORD-0087</t>
  </si>
  <si>
    <t>2025-04-12</t>
  </si>
  <si>
    <t>ORD-0025</t>
  </si>
  <si>
    <t>2025-04-14</t>
  </si>
  <si>
    <t>ORD-0033</t>
  </si>
  <si>
    <t>2025-04-16</t>
  </si>
  <si>
    <t>ORD-0091</t>
  </si>
  <si>
    <t>2025-04-19</t>
  </si>
  <si>
    <t>ORD-0010</t>
  </si>
  <si>
    <t>2025-04-23</t>
  </si>
  <si>
    <t>ORD-0026</t>
  </si>
  <si>
    <t>2025-04-24</t>
  </si>
  <si>
    <t>ORD-0073</t>
  </si>
  <si>
    <t>2025-04-25</t>
  </si>
  <si>
    <t>ORD-0123</t>
  </si>
  <si>
    <t>ORD-0138</t>
  </si>
  <si>
    <t>2025-04-27</t>
  </si>
  <si>
    <t>ORD-0057</t>
  </si>
  <si>
    <t>2025-05-02</t>
  </si>
  <si>
    <t>ORD-0089</t>
  </si>
  <si>
    <t>2025-05-04</t>
  </si>
  <si>
    <t>ORD-0140</t>
  </si>
  <si>
    <t>2025-05-05</t>
  </si>
  <si>
    <t>ORD-0126</t>
  </si>
  <si>
    <t>2025-05-11</t>
  </si>
  <si>
    <t>Marker Set</t>
  </si>
  <si>
    <t>ORD-0148</t>
  </si>
  <si>
    <t>ORD-0018</t>
  </si>
  <si>
    <t>2025-05-12</t>
  </si>
  <si>
    <t>ORD-0016</t>
  </si>
  <si>
    <t>2025-05-17</t>
  </si>
  <si>
    <t>ORD-0047</t>
  </si>
  <si>
    <t>2025-05-22</t>
  </si>
  <si>
    <t>ORD-0074</t>
  </si>
  <si>
    <t>2025-05-24</t>
  </si>
  <si>
    <t>ORD-0110</t>
  </si>
  <si>
    <t>2025-05-30</t>
  </si>
  <si>
    <t>ORD-0061</t>
  </si>
  <si>
    <t>ORD-0027</t>
  </si>
  <si>
    <t>2025-06-01</t>
  </si>
  <si>
    <t>ORD-0131</t>
  </si>
  <si>
    <t>2025-06-05</t>
  </si>
  <si>
    <t>ORD-0028</t>
  </si>
  <si>
    <t>ORD-0146</t>
  </si>
  <si>
    <t>2025-06-07</t>
  </si>
  <si>
    <t>ORD-0049</t>
  </si>
  <si>
    <t>2025-06-13</t>
  </si>
  <si>
    <t>ORD-0079</t>
  </si>
  <si>
    <t>2025-06-17</t>
  </si>
  <si>
    <t>ORD-0039</t>
  </si>
  <si>
    <t>2025-06-18</t>
  </si>
  <si>
    <t>Coffee Table</t>
  </si>
  <si>
    <t>ORD-0050</t>
  </si>
  <si>
    <t>2025-06-20</t>
  </si>
  <si>
    <t>Sketch Pad</t>
  </si>
  <si>
    <t>ORD-0059</t>
  </si>
  <si>
    <t>2025-06-30</t>
  </si>
  <si>
    <t>ORD-0042</t>
  </si>
  <si>
    <t>2025-07-01</t>
  </si>
  <si>
    <t>ORD-0066</t>
  </si>
  <si>
    <t>2025-07-09</t>
  </si>
  <si>
    <t>ORD-0103</t>
  </si>
  <si>
    <t>Document Folder</t>
  </si>
  <si>
    <t>ORD-0088</t>
  </si>
  <si>
    <t>2025-07-11</t>
  </si>
  <si>
    <t>Dining Table</t>
  </si>
  <si>
    <t>ORD-0053</t>
  </si>
  <si>
    <t>2025-07-12</t>
  </si>
  <si>
    <t>ORD-0052</t>
  </si>
  <si>
    <t>ORD-0127</t>
  </si>
  <si>
    <t>ORD-0024</t>
  </si>
  <si>
    <t>2025-07-13</t>
  </si>
  <si>
    <t>ORD-0055</t>
  </si>
  <si>
    <t>2025-07-14</t>
  </si>
  <si>
    <t>ORD-0121</t>
  </si>
  <si>
    <t>ORD-0098</t>
  </si>
  <si>
    <t>2025-07-15</t>
  </si>
  <si>
    <t>ORD-0054</t>
  </si>
  <si>
    <t>2025-07-18</t>
  </si>
  <si>
    <t>ORD-0019</t>
  </si>
  <si>
    <t>ORD-0012</t>
  </si>
  <si>
    <t>2025-07-20</t>
  </si>
  <si>
    <t>ORD-0029</t>
  </si>
  <si>
    <t>2025-07-24</t>
  </si>
  <si>
    <t>ORD-0007</t>
  </si>
  <si>
    <t>ORD-0129</t>
  </si>
  <si>
    <t>2025-07-28</t>
  </si>
  <si>
    <t>Conference Chair</t>
  </si>
  <si>
    <t>ORD-0063</t>
  </si>
  <si>
    <t>2025-08-10</t>
  </si>
  <si>
    <t>ORD-0090</t>
  </si>
  <si>
    <t>2025-08-11</t>
  </si>
  <si>
    <t>ORD-0058</t>
  </si>
  <si>
    <t>2025-08-14</t>
  </si>
  <si>
    <t>ORD-0100</t>
  </si>
  <si>
    <t>2025-08-15</t>
  </si>
  <si>
    <t>ORD-0011</t>
  </si>
  <si>
    <t>2025-08-17</t>
  </si>
  <si>
    <t>ORD-0097</t>
  </si>
  <si>
    <t>2025-08-25</t>
  </si>
  <si>
    <t>ORD-0001</t>
  </si>
  <si>
    <t>2025-08-26</t>
  </si>
  <si>
    <t>ORD-0147</t>
  </si>
  <si>
    <t>2025-09-01</t>
  </si>
  <si>
    <t>ORD-0111</t>
  </si>
  <si>
    <t>2025-09-04</t>
  </si>
  <si>
    <t>ORD-0005</t>
  </si>
  <si>
    <t>2025-09-07</t>
  </si>
  <si>
    <t>ORD-0072</t>
  </si>
  <si>
    <t>2025-09-11</t>
  </si>
  <si>
    <t>ORD-0065</t>
  </si>
  <si>
    <t>2025-09-13</t>
  </si>
  <si>
    <t>ORD-0044</t>
  </si>
  <si>
    <t>2025-09-16</t>
  </si>
  <si>
    <t>ORD-0125</t>
  </si>
  <si>
    <t>2025-09-17</t>
  </si>
  <si>
    <t>ORD-0003</t>
  </si>
  <si>
    <t>ORD-0092</t>
  </si>
  <si>
    <t>2025-09-18</t>
  </si>
  <si>
    <t>ORD-0108</t>
  </si>
  <si>
    <t>2025-09-21</t>
  </si>
  <si>
    <t>ORD-0020</t>
  </si>
  <si>
    <t>ORD-0013</t>
  </si>
  <si>
    <t>2025-09-24</t>
  </si>
  <si>
    <t>ORD-0022</t>
  </si>
  <si>
    <t>2025-09-29</t>
  </si>
  <si>
    <t>ORD-0021</t>
  </si>
  <si>
    <t>2025-10-02</t>
  </si>
  <si>
    <t>ORD-0106</t>
  </si>
  <si>
    <t>2025-10-05</t>
  </si>
  <si>
    <t>ORD-0078</t>
  </si>
  <si>
    <t>ORD-0062</t>
  </si>
  <si>
    <t>2025-10-07</t>
  </si>
  <si>
    <t>ORD-0095</t>
  </si>
  <si>
    <t>2025-10-09</t>
  </si>
  <si>
    <t>ORD-0093</t>
  </si>
  <si>
    <t>2025-10-11</t>
  </si>
  <si>
    <t>ORD-0060</t>
  </si>
  <si>
    <t>ORD-0031</t>
  </si>
  <si>
    <t>2025-10-12</t>
  </si>
  <si>
    <t>ORD-0080</t>
  </si>
  <si>
    <t>2025-10-14</t>
  </si>
  <si>
    <t>ORD-0035</t>
  </si>
  <si>
    <t>2025-10-15</t>
  </si>
  <si>
    <t>ORD-0101</t>
  </si>
  <si>
    <t>ORD-0112</t>
  </si>
  <si>
    <t>2025-10-18</t>
  </si>
  <si>
    <t>ORD-0124</t>
  </si>
  <si>
    <t>ORD-0119</t>
  </si>
  <si>
    <t>2025-10-21</t>
  </si>
  <si>
    <t>ORD-0114</t>
  </si>
  <si>
    <t>ORD-0006</t>
  </si>
  <si>
    <t>2025-10-28</t>
  </si>
  <si>
    <t>ORD-0099</t>
  </si>
  <si>
    <t>2025-11-04</t>
  </si>
  <si>
    <t>ORD-0117</t>
  </si>
  <si>
    <t>2025-11-05</t>
  </si>
  <si>
    <t>ORD-0122</t>
  </si>
  <si>
    <t>2025-11-08</t>
  </si>
  <si>
    <t>ORD-0134</t>
  </si>
  <si>
    <t>2025-11-10</t>
  </si>
  <si>
    <t>ORD-0128</t>
  </si>
  <si>
    <t>2025-11-21</t>
  </si>
  <si>
    <t>ORD-0068</t>
  </si>
  <si>
    <t>ORD-0037</t>
  </si>
  <si>
    <t>2025-11-22</t>
  </si>
  <si>
    <t>ORD-0069</t>
  </si>
  <si>
    <t>2025-11-28</t>
  </si>
  <si>
    <t>ORD-0032</t>
  </si>
  <si>
    <t>2025-11-30</t>
  </si>
  <si>
    <t>ORD-0150</t>
  </si>
  <si>
    <t>2025-12-02</t>
  </si>
  <si>
    <t>ORD-0109</t>
  </si>
  <si>
    <t>2025-12-03</t>
  </si>
  <si>
    <t>ORD-0008</t>
  </si>
  <si>
    <t>2025-12-10</t>
  </si>
  <si>
    <t>ORD-0107</t>
  </si>
  <si>
    <t>ORD-0056</t>
  </si>
  <si>
    <t>2025-12-16</t>
  </si>
  <si>
    <t>ORD-0116</t>
  </si>
  <si>
    <t>ORD-0009</t>
  </si>
  <si>
    <t>2025-12-18</t>
  </si>
  <si>
    <t>ORD-0034</t>
  </si>
  <si>
    <t>2025-12-20</t>
  </si>
  <si>
    <t>ORD-0133</t>
  </si>
  <si>
    <t>2025-12-22</t>
  </si>
  <si>
    <t>ORD-0070</t>
  </si>
  <si>
    <t>2025-12-23</t>
  </si>
  <si>
    <t>ORD-0076</t>
  </si>
  <si>
    <t>2025-12-28</t>
  </si>
  <si>
    <t>CATEGORY</t>
  </si>
  <si>
    <t>TOTAL SALES</t>
  </si>
  <si>
    <t>GRAND TOTAL</t>
  </si>
  <si>
    <t>PERCENTAGE ANALYSIS</t>
  </si>
  <si>
    <t>CONTRIBUTION%</t>
  </si>
  <si>
    <t>KEY POINTS</t>
  </si>
  <si>
    <t>Furniture contributes 29.06% of total sales, generating ₹46,147.69.</t>
  </si>
  <si>
    <t>Office Supplies contributes 5.22% of total sales, generating ₹8,285.21.</t>
  </si>
  <si>
    <t>Technology contributes the highest share at 65.72%, generating ₹1,04,369.29.</t>
  </si>
  <si>
    <t>Total sales across all three categories amount to ₹1,58,802.19.</t>
  </si>
  <si>
    <t>Technology is the leading sales category, contributing nearly two-thirds of total sales.</t>
  </si>
  <si>
    <t>Office Supplies has the lowest contribution to overall sales.</t>
  </si>
  <si>
    <t>The total percentage contribution equals 100%, confirming the category-wise distribution.</t>
  </si>
  <si>
    <t>Percentage contribution analysis helps identify high-performing categories and supports business decision-making.</t>
  </si>
  <si>
    <t xml:space="preserve"> I performed category-wise sales contribution analysis using Excel. </t>
  </si>
  <si>
    <t>I calculated total sales for each category using the SUMIF function, determined percentage contribution against grand total sales, validated that the percentages add up to 100%.</t>
  </si>
  <si>
    <t>Created a doughnut chart to visualize the contribution of each category.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</si>
</sst>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16">
    <xf numFmtId="0" fontId="0" fillId="0" borderId="0" xfId="0"/>
    <xf numFmtId="0" fontId="2" fillId="3" borderId="1" xfId="0" applyFont="1" applyFill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1" xfId="0" applyBorder="1"/>
    <xf numFmtId="44" fontId="1" fillId="0" borderId="1" xfId="1" applyFont="1" applyBorder="1"/>
    <xf numFmtId="10" fontId="6" fillId="0" borderId="1" xfId="1" applyNumberFormat="1" applyFont="1" applyBorder="1"/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44" fontId="3" fillId="4" borderId="1" xfId="0" applyNumberFormat="1" applyFont="1" applyFill="1" applyBorder="1"/>
    <xf numFmtId="10" fontId="3" fillId="4" borderId="1" xfId="0" applyNumberFormat="1" applyFont="1" applyFill="1" applyBorder="1"/>
    <xf numFmtId="0" fontId="7" fillId="0" borderId="0" xfId="0" applyFont="1" applyAlignment="1">
      <alignment vertical="center"/>
    </xf>
    <xf numFmtId="0" fontId="1" fillId="2" borderId="0" xfId="2" applyAlignment="1">
      <alignment horizontal="left" indent="2"/>
    </xf>
    <xf numFmtId="0" fontId="0" fillId="0" borderId="0" xfId="0" applyFont="1" applyAlignment="1">
      <alignment horizontal="left" vertical="center" indent="1"/>
    </xf>
    <xf numFmtId="0" fontId="0" fillId="0" borderId="0" xfId="0" applyFont="1" applyAlignment="1">
      <alignment horizontal="left" indent="1"/>
    </xf>
  </cellXfs>
  <cellStyles count="3">
    <cellStyle name="20% - Accent3" xfId="2" builtinId="38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CATEGORY -WISE SALES CONTRIBUTION(%)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Percentage_Analysis!$D$4</c:f>
              <c:strCache>
                <c:ptCount val="1"/>
                <c:pt idx="0">
                  <c:v>TOTAL SALES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577-4177-9CAB-E3709369B1F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CD39-41BA-9DBF-133CA186250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577-4177-9CAB-E3709369B1F3}"/>
              </c:ext>
            </c:extLst>
          </c:dPt>
          <c:dLbls>
            <c:dLbl>
              <c:idx val="1"/>
              <c:layout>
                <c:manualLayout>
                  <c:x val="7.2895957587806495E-2"/>
                  <c:y val="0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D39-41BA-9DBF-133CA186250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Percentage_Analysis!$C$5:$C$7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Percentage_Analysis!$D$5:$D$7</c:f>
              <c:numCache>
                <c:formatCode>_("₹"* #,##0.00_);_("₹"* \(#,##0.00\);_("₹"* "-"??_);_(@_)</c:formatCode>
                <c:ptCount val="3"/>
                <c:pt idx="0">
                  <c:v>46147.689999999988</c:v>
                </c:pt>
                <c:pt idx="1">
                  <c:v>8285.2099999999991</c:v>
                </c:pt>
                <c:pt idx="2">
                  <c:v>102615.77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39-41BA-9DBF-133CA186250E}"/>
            </c:ext>
          </c:extLst>
        </c:ser>
        <c:ser>
          <c:idx val="1"/>
          <c:order val="1"/>
          <c:tx>
            <c:strRef>
              <c:f>Percentage_Analysis!$E$4</c:f>
              <c:strCache>
                <c:ptCount val="1"/>
                <c:pt idx="0">
                  <c:v>CONTRIBUTION%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577-4177-9CAB-E3709369B1F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577-4177-9CAB-E3709369B1F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577-4177-9CAB-E3709369B1F3}"/>
              </c:ext>
            </c:extLst>
          </c:dPt>
          <c:dLbls>
            <c:delete val="1"/>
          </c:dLbls>
          <c:cat>
            <c:strRef>
              <c:f>Percentage_Analysis!$C$5:$C$7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Percentage_Analysis!$E$5:$E$7</c:f>
              <c:numCache>
                <c:formatCode>0.00%</c:formatCode>
                <c:ptCount val="3"/>
                <c:pt idx="0">
                  <c:v>0.2938432398058512</c:v>
                </c:pt>
                <c:pt idx="1">
                  <c:v>5.2755683954534602E-2</c:v>
                </c:pt>
                <c:pt idx="2">
                  <c:v>0.65340107623961419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39-41BA-9DBF-133CA186250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304800</xdr:colOff>
      <xdr:row>0</xdr:row>
      <xdr:rowOff>121920</xdr:rowOff>
    </xdr:from>
    <xdr:to>
      <xdr:col>15</xdr:col>
      <xdr:colOff>45720</xdr:colOff>
      <xdr:row>15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2975F3-A1CC-6FC3-5A6C-40CA59BA48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16056-7141-4231-9CE4-81D36EB11BAD}">
  <dimension ref="A1:L151"/>
  <sheetViews>
    <sheetView topLeftCell="A125" workbookViewId="0">
      <selection activeCell="M3" sqref="M3"/>
    </sheetView>
  </sheetViews>
  <sheetFormatPr defaultRowHeight="14.4" x14ac:dyDescent="0.3"/>
  <cols>
    <col min="1" max="1" width="12.44140625" bestFit="1" customWidth="1"/>
    <col min="2" max="2" width="14.5546875" bestFit="1" customWidth="1"/>
    <col min="3" max="3" width="11.21875" bestFit="1" customWidth="1"/>
    <col min="4" max="4" width="11.88671875" bestFit="1" customWidth="1"/>
    <col min="5" max="5" width="12.88671875" bestFit="1" customWidth="1"/>
    <col min="6" max="6" width="13.109375" bestFit="1" customWidth="1"/>
    <col min="7" max="7" width="16.88671875" bestFit="1" customWidth="1"/>
    <col min="8" max="8" width="19.6640625" bestFit="1" customWidth="1"/>
    <col min="9" max="10" width="12.77734375" bestFit="1" customWidth="1"/>
    <col min="11" max="11" width="9.6640625" bestFit="1" customWidth="1"/>
    <col min="12" max="12" width="10.109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7</v>
      </c>
      <c r="J2">
        <v>0</v>
      </c>
      <c r="K2">
        <v>2595.6</v>
      </c>
      <c r="L2">
        <v>326.95</v>
      </c>
    </row>
    <row r="3" spans="1:12" x14ac:dyDescent="0.3">
      <c r="A3" t="s">
        <v>20</v>
      </c>
      <c r="B3" t="s">
        <v>21</v>
      </c>
      <c r="C3" t="s">
        <v>22</v>
      </c>
      <c r="D3" t="s">
        <v>23</v>
      </c>
      <c r="E3" t="s">
        <v>16</v>
      </c>
      <c r="F3" t="s">
        <v>24</v>
      </c>
      <c r="G3" t="s">
        <v>25</v>
      </c>
      <c r="H3" t="s">
        <v>26</v>
      </c>
      <c r="I3">
        <v>2</v>
      </c>
      <c r="J3">
        <v>0</v>
      </c>
      <c r="K3">
        <v>1753.52</v>
      </c>
      <c r="L3">
        <v>102.32</v>
      </c>
    </row>
    <row r="4" spans="1:12" x14ac:dyDescent="0.3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24</v>
      </c>
      <c r="G4" t="s">
        <v>32</v>
      </c>
      <c r="H4" t="s">
        <v>33</v>
      </c>
      <c r="I4">
        <v>5</v>
      </c>
      <c r="J4">
        <v>0</v>
      </c>
      <c r="K4">
        <v>1305.6500000000001</v>
      </c>
      <c r="L4">
        <v>300.64</v>
      </c>
    </row>
    <row r="5" spans="1:12" x14ac:dyDescent="0.3">
      <c r="A5" t="s">
        <v>34</v>
      </c>
      <c r="B5" t="s">
        <v>28</v>
      </c>
      <c r="C5" t="s">
        <v>14</v>
      </c>
      <c r="D5" t="s">
        <v>35</v>
      </c>
      <c r="E5" t="s">
        <v>36</v>
      </c>
      <c r="F5" t="s">
        <v>24</v>
      </c>
      <c r="G5" t="s">
        <v>32</v>
      </c>
      <c r="H5" t="s">
        <v>37</v>
      </c>
      <c r="I5">
        <v>7</v>
      </c>
      <c r="J5">
        <v>0</v>
      </c>
      <c r="K5">
        <v>5569.48</v>
      </c>
      <c r="L5">
        <v>1039.92</v>
      </c>
    </row>
    <row r="6" spans="1:12" x14ac:dyDescent="0.3">
      <c r="A6" t="s">
        <v>38</v>
      </c>
      <c r="B6" t="s">
        <v>39</v>
      </c>
      <c r="C6" t="s">
        <v>14</v>
      </c>
      <c r="D6" t="s">
        <v>35</v>
      </c>
      <c r="E6" t="s">
        <v>16</v>
      </c>
      <c r="F6" t="s">
        <v>17</v>
      </c>
      <c r="G6" t="s">
        <v>40</v>
      </c>
      <c r="H6" t="s">
        <v>41</v>
      </c>
      <c r="I6">
        <v>3</v>
      </c>
      <c r="J6">
        <v>0.15</v>
      </c>
      <c r="K6">
        <v>976.55</v>
      </c>
      <c r="L6">
        <v>34.200000000000003</v>
      </c>
    </row>
    <row r="7" spans="1:12" x14ac:dyDescent="0.3">
      <c r="A7" t="s">
        <v>42</v>
      </c>
      <c r="B7" t="s">
        <v>39</v>
      </c>
      <c r="C7" t="s">
        <v>29</v>
      </c>
      <c r="D7" t="s">
        <v>43</v>
      </c>
      <c r="E7" t="s">
        <v>16</v>
      </c>
      <c r="F7" t="s">
        <v>17</v>
      </c>
      <c r="G7" t="s">
        <v>44</v>
      </c>
      <c r="H7" t="s">
        <v>45</v>
      </c>
      <c r="I7">
        <v>7</v>
      </c>
      <c r="J7">
        <v>0.15</v>
      </c>
      <c r="K7">
        <v>938.55</v>
      </c>
      <c r="L7">
        <v>107.62</v>
      </c>
    </row>
    <row r="8" spans="1:12" x14ac:dyDescent="0.3">
      <c r="A8" t="s">
        <v>46</v>
      </c>
      <c r="B8" t="s">
        <v>39</v>
      </c>
      <c r="C8" t="s">
        <v>47</v>
      </c>
      <c r="D8" t="s">
        <v>23</v>
      </c>
      <c r="E8" t="s">
        <v>16</v>
      </c>
      <c r="F8" t="s">
        <v>24</v>
      </c>
      <c r="G8" t="s">
        <v>25</v>
      </c>
      <c r="H8" t="s">
        <v>48</v>
      </c>
      <c r="I8">
        <v>5</v>
      </c>
      <c r="J8">
        <v>0</v>
      </c>
      <c r="K8">
        <v>456.7</v>
      </c>
      <c r="L8">
        <v>41.62</v>
      </c>
    </row>
    <row r="9" spans="1:12" x14ac:dyDescent="0.3">
      <c r="A9" t="s">
        <v>49</v>
      </c>
      <c r="B9" t="s">
        <v>39</v>
      </c>
      <c r="C9" t="s">
        <v>14</v>
      </c>
      <c r="D9" t="s">
        <v>50</v>
      </c>
      <c r="E9" t="s">
        <v>31</v>
      </c>
      <c r="F9" t="s">
        <v>17</v>
      </c>
      <c r="G9" t="s">
        <v>18</v>
      </c>
      <c r="H9" t="s">
        <v>51</v>
      </c>
      <c r="I9">
        <v>4</v>
      </c>
      <c r="J9">
        <v>0.2</v>
      </c>
      <c r="K9">
        <v>1282.5899999999999</v>
      </c>
      <c r="L9">
        <v>158.02000000000001</v>
      </c>
    </row>
    <row r="10" spans="1:12" x14ac:dyDescent="0.3">
      <c r="A10" t="s">
        <v>52</v>
      </c>
      <c r="B10" t="s">
        <v>53</v>
      </c>
      <c r="C10" t="s">
        <v>29</v>
      </c>
      <c r="D10" t="s">
        <v>30</v>
      </c>
      <c r="E10" t="s">
        <v>31</v>
      </c>
      <c r="F10" t="s">
        <v>24</v>
      </c>
      <c r="G10" t="s">
        <v>54</v>
      </c>
      <c r="H10" t="s">
        <v>55</v>
      </c>
      <c r="I10">
        <v>7</v>
      </c>
      <c r="J10">
        <v>0.1</v>
      </c>
      <c r="K10">
        <v>2835.5</v>
      </c>
      <c r="L10">
        <v>427.71</v>
      </c>
    </row>
    <row r="11" spans="1:12" x14ac:dyDescent="0.3">
      <c r="A11" t="s">
        <v>56</v>
      </c>
      <c r="B11" t="s">
        <v>57</v>
      </c>
      <c r="C11" t="s">
        <v>47</v>
      </c>
      <c r="D11" t="s">
        <v>58</v>
      </c>
      <c r="E11" t="s">
        <v>16</v>
      </c>
      <c r="F11" t="s">
        <v>24</v>
      </c>
      <c r="G11" t="s">
        <v>59</v>
      </c>
      <c r="H11" t="s">
        <v>60</v>
      </c>
      <c r="I11">
        <v>3</v>
      </c>
      <c r="J11">
        <v>0</v>
      </c>
      <c r="K11">
        <v>145.29</v>
      </c>
      <c r="L11">
        <v>17.260000000000002</v>
      </c>
    </row>
    <row r="12" spans="1:12" x14ac:dyDescent="0.3">
      <c r="A12" t="s">
        <v>61</v>
      </c>
      <c r="B12" t="s">
        <v>62</v>
      </c>
      <c r="C12" t="s">
        <v>29</v>
      </c>
      <c r="D12" t="s">
        <v>23</v>
      </c>
      <c r="E12" t="s">
        <v>31</v>
      </c>
      <c r="F12" t="s">
        <v>63</v>
      </c>
      <c r="G12" t="s">
        <v>64</v>
      </c>
      <c r="H12" t="s">
        <v>65</v>
      </c>
      <c r="I12">
        <v>8</v>
      </c>
      <c r="J12">
        <v>0.2</v>
      </c>
      <c r="K12">
        <v>175.04</v>
      </c>
      <c r="L12">
        <v>20.43</v>
      </c>
    </row>
    <row r="13" spans="1:12" x14ac:dyDescent="0.3">
      <c r="A13" t="s">
        <v>66</v>
      </c>
      <c r="B13" t="s">
        <v>62</v>
      </c>
      <c r="C13" t="s">
        <v>22</v>
      </c>
      <c r="D13" t="s">
        <v>15</v>
      </c>
      <c r="E13" t="s">
        <v>36</v>
      </c>
      <c r="F13" t="s">
        <v>17</v>
      </c>
      <c r="G13" t="s">
        <v>67</v>
      </c>
      <c r="H13" t="s">
        <v>68</v>
      </c>
      <c r="I13">
        <v>3</v>
      </c>
      <c r="J13">
        <v>0.2</v>
      </c>
      <c r="K13">
        <v>245.83</v>
      </c>
      <c r="L13">
        <v>18.329999999999998</v>
      </c>
    </row>
    <row r="14" spans="1:12" x14ac:dyDescent="0.3">
      <c r="A14" t="s">
        <v>69</v>
      </c>
      <c r="B14" t="s">
        <v>70</v>
      </c>
      <c r="C14" t="s">
        <v>47</v>
      </c>
      <c r="D14" t="s">
        <v>15</v>
      </c>
      <c r="E14" t="s">
        <v>31</v>
      </c>
      <c r="F14" t="s">
        <v>17</v>
      </c>
      <c r="G14" t="s">
        <v>67</v>
      </c>
      <c r="H14" t="s">
        <v>68</v>
      </c>
      <c r="I14">
        <v>4</v>
      </c>
      <c r="J14">
        <v>0.1</v>
      </c>
      <c r="K14">
        <v>1119.0999999999999</v>
      </c>
      <c r="L14">
        <v>148.34</v>
      </c>
    </row>
    <row r="15" spans="1:12" x14ac:dyDescent="0.3">
      <c r="A15" t="s">
        <v>71</v>
      </c>
      <c r="B15" t="s">
        <v>72</v>
      </c>
      <c r="C15" t="s">
        <v>14</v>
      </c>
      <c r="D15" t="s">
        <v>58</v>
      </c>
      <c r="E15" t="s">
        <v>36</v>
      </c>
      <c r="F15" t="s">
        <v>24</v>
      </c>
      <c r="G15" t="s">
        <v>59</v>
      </c>
      <c r="H15" t="s">
        <v>73</v>
      </c>
      <c r="I15">
        <v>6</v>
      </c>
      <c r="J15">
        <v>0</v>
      </c>
      <c r="K15">
        <v>956.4</v>
      </c>
      <c r="L15">
        <v>86.06</v>
      </c>
    </row>
    <row r="16" spans="1:12" x14ac:dyDescent="0.3">
      <c r="A16" t="s">
        <v>74</v>
      </c>
      <c r="B16" t="s">
        <v>75</v>
      </c>
      <c r="C16" t="s">
        <v>29</v>
      </c>
      <c r="D16" t="s">
        <v>43</v>
      </c>
      <c r="E16" t="s">
        <v>36</v>
      </c>
      <c r="F16" t="s">
        <v>24</v>
      </c>
      <c r="G16" t="s">
        <v>59</v>
      </c>
      <c r="H16" t="s">
        <v>73</v>
      </c>
      <c r="I16">
        <v>1</v>
      </c>
      <c r="J16">
        <v>0.05</v>
      </c>
      <c r="K16">
        <v>172.51</v>
      </c>
      <c r="L16">
        <v>19.98</v>
      </c>
    </row>
    <row r="17" spans="1:12" x14ac:dyDescent="0.3">
      <c r="A17" t="s">
        <v>76</v>
      </c>
      <c r="B17" t="s">
        <v>77</v>
      </c>
      <c r="C17" t="s">
        <v>14</v>
      </c>
      <c r="D17" t="s">
        <v>43</v>
      </c>
      <c r="E17" t="s">
        <v>31</v>
      </c>
      <c r="F17" t="s">
        <v>63</v>
      </c>
      <c r="G17" t="s">
        <v>78</v>
      </c>
      <c r="H17" t="s">
        <v>79</v>
      </c>
      <c r="I17">
        <v>7</v>
      </c>
      <c r="J17">
        <v>0</v>
      </c>
      <c r="K17">
        <v>162.88999999999999</v>
      </c>
      <c r="L17">
        <v>23.69</v>
      </c>
    </row>
    <row r="18" spans="1:12" x14ac:dyDescent="0.3">
      <c r="A18" t="s">
        <v>80</v>
      </c>
      <c r="B18" t="s">
        <v>81</v>
      </c>
      <c r="C18" t="s">
        <v>47</v>
      </c>
      <c r="D18" t="s">
        <v>23</v>
      </c>
      <c r="E18" t="s">
        <v>16</v>
      </c>
      <c r="F18" t="s">
        <v>17</v>
      </c>
      <c r="G18" t="s">
        <v>44</v>
      </c>
      <c r="H18" t="s">
        <v>82</v>
      </c>
      <c r="I18">
        <v>1</v>
      </c>
      <c r="J18">
        <v>0.05</v>
      </c>
      <c r="K18">
        <v>218.22</v>
      </c>
      <c r="L18">
        <v>26.79</v>
      </c>
    </row>
    <row r="19" spans="1:12" x14ac:dyDescent="0.3">
      <c r="A19" t="s">
        <v>83</v>
      </c>
      <c r="B19" t="s">
        <v>84</v>
      </c>
      <c r="C19" t="s">
        <v>47</v>
      </c>
      <c r="D19" t="s">
        <v>58</v>
      </c>
      <c r="E19" t="s">
        <v>36</v>
      </c>
      <c r="F19" t="s">
        <v>17</v>
      </c>
      <c r="G19" t="s">
        <v>44</v>
      </c>
      <c r="H19" t="s">
        <v>82</v>
      </c>
      <c r="I19">
        <v>8</v>
      </c>
      <c r="J19">
        <v>0.2</v>
      </c>
      <c r="K19">
        <v>1104.96</v>
      </c>
      <c r="L19">
        <v>48.36</v>
      </c>
    </row>
    <row r="20" spans="1:12" x14ac:dyDescent="0.3">
      <c r="A20" t="s">
        <v>85</v>
      </c>
      <c r="B20" t="s">
        <v>86</v>
      </c>
      <c r="C20" t="s">
        <v>29</v>
      </c>
      <c r="D20" t="s">
        <v>50</v>
      </c>
      <c r="E20" t="s">
        <v>36</v>
      </c>
      <c r="F20" t="s">
        <v>63</v>
      </c>
      <c r="G20" t="s">
        <v>64</v>
      </c>
      <c r="H20" t="s">
        <v>87</v>
      </c>
      <c r="I20">
        <v>5</v>
      </c>
      <c r="J20">
        <v>0.2</v>
      </c>
      <c r="K20">
        <v>12.12</v>
      </c>
      <c r="L20">
        <v>1.4</v>
      </c>
    </row>
    <row r="21" spans="1:12" x14ac:dyDescent="0.3">
      <c r="A21" t="s">
        <v>88</v>
      </c>
      <c r="B21" t="s">
        <v>89</v>
      </c>
      <c r="C21" t="s">
        <v>14</v>
      </c>
      <c r="D21" t="s">
        <v>35</v>
      </c>
      <c r="E21" t="s">
        <v>31</v>
      </c>
      <c r="F21" t="s">
        <v>24</v>
      </c>
      <c r="G21" t="s">
        <v>59</v>
      </c>
      <c r="H21" t="s">
        <v>90</v>
      </c>
      <c r="I21">
        <v>4</v>
      </c>
      <c r="J21">
        <v>0.15</v>
      </c>
      <c r="K21">
        <v>1601.77</v>
      </c>
      <c r="L21">
        <v>232.72</v>
      </c>
    </row>
    <row r="22" spans="1:12" x14ac:dyDescent="0.3">
      <c r="A22" t="s">
        <v>91</v>
      </c>
      <c r="B22" t="s">
        <v>92</v>
      </c>
      <c r="C22" t="s">
        <v>47</v>
      </c>
      <c r="D22" t="s">
        <v>93</v>
      </c>
      <c r="E22" t="s">
        <v>36</v>
      </c>
      <c r="F22" t="s">
        <v>63</v>
      </c>
      <c r="G22" t="s">
        <v>64</v>
      </c>
      <c r="H22" t="s">
        <v>94</v>
      </c>
      <c r="I22">
        <v>3</v>
      </c>
      <c r="J22">
        <v>0.1</v>
      </c>
      <c r="K22">
        <v>59.99</v>
      </c>
      <c r="L22">
        <v>11.94</v>
      </c>
    </row>
    <row r="23" spans="1:12" x14ac:dyDescent="0.3">
      <c r="A23" t="s">
        <v>95</v>
      </c>
      <c r="B23" t="s">
        <v>96</v>
      </c>
      <c r="C23" t="s">
        <v>47</v>
      </c>
      <c r="D23" t="s">
        <v>93</v>
      </c>
      <c r="E23" t="s">
        <v>16</v>
      </c>
      <c r="F23" t="s">
        <v>63</v>
      </c>
      <c r="G23" t="s">
        <v>97</v>
      </c>
      <c r="H23" t="s">
        <v>98</v>
      </c>
      <c r="I23">
        <v>3</v>
      </c>
      <c r="J23">
        <v>0.2</v>
      </c>
      <c r="K23">
        <v>48.94</v>
      </c>
      <c r="L23">
        <v>6.06</v>
      </c>
    </row>
    <row r="24" spans="1:12" x14ac:dyDescent="0.3">
      <c r="A24" t="s">
        <v>99</v>
      </c>
      <c r="B24" t="s">
        <v>100</v>
      </c>
      <c r="C24" t="s">
        <v>14</v>
      </c>
      <c r="D24" t="s">
        <v>35</v>
      </c>
      <c r="E24" t="s">
        <v>16</v>
      </c>
      <c r="F24" t="s">
        <v>17</v>
      </c>
      <c r="G24" t="s">
        <v>40</v>
      </c>
      <c r="H24" t="s">
        <v>101</v>
      </c>
      <c r="I24">
        <v>8</v>
      </c>
      <c r="J24">
        <v>0</v>
      </c>
      <c r="K24">
        <v>1532.64</v>
      </c>
      <c r="L24">
        <v>302.14999999999998</v>
      </c>
    </row>
    <row r="25" spans="1:12" x14ac:dyDescent="0.3">
      <c r="A25" t="s">
        <v>102</v>
      </c>
      <c r="B25" t="s">
        <v>103</v>
      </c>
      <c r="C25" t="s">
        <v>47</v>
      </c>
      <c r="D25" t="s">
        <v>43</v>
      </c>
      <c r="E25" t="s">
        <v>36</v>
      </c>
      <c r="F25" t="s">
        <v>24</v>
      </c>
      <c r="G25" t="s">
        <v>59</v>
      </c>
      <c r="H25" t="s">
        <v>60</v>
      </c>
      <c r="I25">
        <v>1</v>
      </c>
      <c r="J25">
        <v>0.1</v>
      </c>
      <c r="K25">
        <v>500.23</v>
      </c>
      <c r="L25">
        <v>33.56</v>
      </c>
    </row>
    <row r="26" spans="1:12" x14ac:dyDescent="0.3">
      <c r="A26" t="s">
        <v>104</v>
      </c>
      <c r="B26" t="s">
        <v>105</v>
      </c>
      <c r="C26" t="s">
        <v>22</v>
      </c>
      <c r="D26" t="s">
        <v>58</v>
      </c>
      <c r="E26" t="s">
        <v>31</v>
      </c>
      <c r="F26" t="s">
        <v>63</v>
      </c>
      <c r="G26" t="s">
        <v>64</v>
      </c>
      <c r="H26" t="s">
        <v>65</v>
      </c>
      <c r="I26">
        <v>2</v>
      </c>
      <c r="J26">
        <v>0.1</v>
      </c>
      <c r="K26">
        <v>35.6</v>
      </c>
      <c r="L26">
        <v>4.01</v>
      </c>
    </row>
    <row r="27" spans="1:12" x14ac:dyDescent="0.3">
      <c r="A27" t="s">
        <v>106</v>
      </c>
      <c r="B27" t="s">
        <v>107</v>
      </c>
      <c r="C27" t="s">
        <v>29</v>
      </c>
      <c r="D27" t="s">
        <v>23</v>
      </c>
      <c r="E27" t="s">
        <v>31</v>
      </c>
      <c r="F27" t="s">
        <v>24</v>
      </c>
      <c r="G27" t="s">
        <v>32</v>
      </c>
      <c r="H27" t="s">
        <v>33</v>
      </c>
      <c r="I27">
        <v>4</v>
      </c>
      <c r="J27">
        <v>0</v>
      </c>
      <c r="K27">
        <v>1491.12</v>
      </c>
      <c r="L27">
        <v>102.43</v>
      </c>
    </row>
    <row r="28" spans="1:12" x14ac:dyDescent="0.3">
      <c r="A28" t="s">
        <v>108</v>
      </c>
      <c r="B28" t="s">
        <v>107</v>
      </c>
      <c r="C28" t="s">
        <v>29</v>
      </c>
      <c r="D28" t="s">
        <v>23</v>
      </c>
      <c r="E28" t="s">
        <v>31</v>
      </c>
      <c r="F28" t="s">
        <v>24</v>
      </c>
      <c r="G28" t="s">
        <v>59</v>
      </c>
      <c r="H28" t="s">
        <v>109</v>
      </c>
      <c r="I28">
        <v>7</v>
      </c>
      <c r="J28">
        <v>0.2</v>
      </c>
      <c r="K28">
        <v>2549.23</v>
      </c>
      <c r="L28">
        <v>250.12</v>
      </c>
    </row>
    <row r="29" spans="1:12" x14ac:dyDescent="0.3">
      <c r="A29" t="s">
        <v>110</v>
      </c>
      <c r="B29" t="s">
        <v>111</v>
      </c>
      <c r="C29" t="s">
        <v>14</v>
      </c>
      <c r="D29" t="s">
        <v>58</v>
      </c>
      <c r="E29" t="s">
        <v>36</v>
      </c>
      <c r="F29" t="s">
        <v>24</v>
      </c>
      <c r="G29" t="s">
        <v>54</v>
      </c>
      <c r="H29" t="s">
        <v>112</v>
      </c>
      <c r="I29">
        <v>4</v>
      </c>
      <c r="J29">
        <v>0</v>
      </c>
      <c r="K29">
        <v>3455.76</v>
      </c>
      <c r="L29">
        <v>456.38</v>
      </c>
    </row>
    <row r="30" spans="1:12" x14ac:dyDescent="0.3">
      <c r="A30" t="s">
        <v>113</v>
      </c>
      <c r="B30" t="s">
        <v>114</v>
      </c>
      <c r="C30" t="s">
        <v>47</v>
      </c>
      <c r="D30" t="s">
        <v>50</v>
      </c>
      <c r="E30" t="s">
        <v>36</v>
      </c>
      <c r="F30" t="s">
        <v>63</v>
      </c>
      <c r="G30" t="s">
        <v>78</v>
      </c>
      <c r="H30" t="s">
        <v>115</v>
      </c>
      <c r="I30">
        <v>6</v>
      </c>
      <c r="J30">
        <v>0.1</v>
      </c>
      <c r="K30">
        <v>407.11</v>
      </c>
      <c r="L30">
        <v>18.579999999999998</v>
      </c>
    </row>
    <row r="31" spans="1:12" x14ac:dyDescent="0.3">
      <c r="A31" t="s">
        <v>116</v>
      </c>
      <c r="B31" t="s">
        <v>117</v>
      </c>
      <c r="C31" t="s">
        <v>22</v>
      </c>
      <c r="D31" t="s">
        <v>93</v>
      </c>
      <c r="E31" t="s">
        <v>16</v>
      </c>
      <c r="F31" t="s">
        <v>63</v>
      </c>
      <c r="G31" t="s">
        <v>97</v>
      </c>
      <c r="H31" t="s">
        <v>118</v>
      </c>
      <c r="I31">
        <v>4</v>
      </c>
      <c r="J31">
        <v>0.15</v>
      </c>
      <c r="K31">
        <v>221.82</v>
      </c>
      <c r="L31">
        <v>39.56</v>
      </c>
    </row>
    <row r="32" spans="1:12" x14ac:dyDescent="0.3">
      <c r="A32" t="s">
        <v>119</v>
      </c>
      <c r="B32" t="s">
        <v>120</v>
      </c>
      <c r="C32" t="s">
        <v>22</v>
      </c>
      <c r="D32" t="s">
        <v>15</v>
      </c>
      <c r="E32" t="s">
        <v>16</v>
      </c>
      <c r="F32" t="s">
        <v>63</v>
      </c>
      <c r="G32" t="s">
        <v>78</v>
      </c>
      <c r="H32" t="s">
        <v>79</v>
      </c>
      <c r="I32">
        <v>2</v>
      </c>
      <c r="J32">
        <v>0.1</v>
      </c>
      <c r="K32">
        <v>93.98</v>
      </c>
      <c r="L32">
        <v>7.27</v>
      </c>
    </row>
    <row r="33" spans="1:12" x14ac:dyDescent="0.3">
      <c r="A33" t="s">
        <v>121</v>
      </c>
      <c r="B33" t="s">
        <v>120</v>
      </c>
      <c r="C33" t="s">
        <v>22</v>
      </c>
      <c r="D33" t="s">
        <v>43</v>
      </c>
      <c r="E33" t="s">
        <v>31</v>
      </c>
      <c r="F33" t="s">
        <v>17</v>
      </c>
      <c r="G33" t="s">
        <v>44</v>
      </c>
      <c r="H33" t="s">
        <v>45</v>
      </c>
      <c r="I33">
        <v>3</v>
      </c>
      <c r="J33">
        <v>0.15</v>
      </c>
      <c r="K33">
        <v>718.54</v>
      </c>
      <c r="L33">
        <v>-0.13</v>
      </c>
    </row>
    <row r="34" spans="1:12" x14ac:dyDescent="0.3">
      <c r="A34" t="s">
        <v>122</v>
      </c>
      <c r="B34" t="s">
        <v>123</v>
      </c>
      <c r="C34" t="s">
        <v>47</v>
      </c>
      <c r="D34" t="s">
        <v>35</v>
      </c>
      <c r="E34" t="s">
        <v>16</v>
      </c>
      <c r="F34" t="s">
        <v>63</v>
      </c>
      <c r="G34" t="s">
        <v>78</v>
      </c>
      <c r="H34" t="s">
        <v>124</v>
      </c>
      <c r="I34">
        <v>5</v>
      </c>
      <c r="J34">
        <v>0</v>
      </c>
      <c r="K34">
        <v>81.2</v>
      </c>
      <c r="L34">
        <v>17.100000000000001</v>
      </c>
    </row>
    <row r="35" spans="1:12" x14ac:dyDescent="0.3">
      <c r="A35" t="s">
        <v>125</v>
      </c>
      <c r="B35" t="s">
        <v>123</v>
      </c>
      <c r="C35" t="s">
        <v>22</v>
      </c>
      <c r="D35" t="s">
        <v>15</v>
      </c>
      <c r="E35" t="s">
        <v>16</v>
      </c>
      <c r="F35" t="s">
        <v>17</v>
      </c>
      <c r="G35" t="s">
        <v>40</v>
      </c>
      <c r="H35" t="s">
        <v>101</v>
      </c>
      <c r="I35">
        <v>5</v>
      </c>
      <c r="J35">
        <v>0.15</v>
      </c>
      <c r="K35">
        <v>376.85</v>
      </c>
      <c r="L35">
        <v>21.43</v>
      </c>
    </row>
    <row r="36" spans="1:12" x14ac:dyDescent="0.3">
      <c r="A36" t="s">
        <v>126</v>
      </c>
      <c r="B36" t="s">
        <v>127</v>
      </c>
      <c r="C36" t="s">
        <v>47</v>
      </c>
      <c r="D36" t="s">
        <v>23</v>
      </c>
      <c r="E36" t="s">
        <v>36</v>
      </c>
      <c r="F36" t="s">
        <v>24</v>
      </c>
      <c r="G36" t="s">
        <v>54</v>
      </c>
      <c r="H36" t="s">
        <v>128</v>
      </c>
      <c r="I36">
        <v>4</v>
      </c>
      <c r="J36">
        <v>0</v>
      </c>
      <c r="K36">
        <v>2807.72</v>
      </c>
      <c r="L36">
        <v>693.18</v>
      </c>
    </row>
    <row r="37" spans="1:12" x14ac:dyDescent="0.3">
      <c r="A37" t="s">
        <v>129</v>
      </c>
      <c r="B37" t="s">
        <v>130</v>
      </c>
      <c r="C37" t="s">
        <v>22</v>
      </c>
      <c r="D37" t="s">
        <v>35</v>
      </c>
      <c r="E37" t="s">
        <v>16</v>
      </c>
      <c r="F37" t="s">
        <v>63</v>
      </c>
      <c r="G37" t="s">
        <v>97</v>
      </c>
      <c r="H37" t="s">
        <v>98</v>
      </c>
      <c r="I37">
        <v>5</v>
      </c>
      <c r="J37">
        <v>0</v>
      </c>
      <c r="K37">
        <v>59.75</v>
      </c>
      <c r="L37">
        <v>12.49</v>
      </c>
    </row>
    <row r="38" spans="1:12" x14ac:dyDescent="0.3">
      <c r="A38" t="s">
        <v>131</v>
      </c>
      <c r="B38" t="s">
        <v>130</v>
      </c>
      <c r="C38" t="s">
        <v>14</v>
      </c>
      <c r="D38" t="s">
        <v>58</v>
      </c>
      <c r="E38" t="s">
        <v>36</v>
      </c>
      <c r="F38" t="s">
        <v>24</v>
      </c>
      <c r="G38" t="s">
        <v>54</v>
      </c>
      <c r="H38" t="s">
        <v>112</v>
      </c>
      <c r="I38">
        <v>7</v>
      </c>
      <c r="J38">
        <v>0.1</v>
      </c>
      <c r="K38">
        <v>1372.71</v>
      </c>
      <c r="L38">
        <v>227.53</v>
      </c>
    </row>
    <row r="39" spans="1:12" x14ac:dyDescent="0.3">
      <c r="A39" t="s">
        <v>132</v>
      </c>
      <c r="B39" t="s">
        <v>133</v>
      </c>
      <c r="C39" t="s">
        <v>47</v>
      </c>
      <c r="D39" t="s">
        <v>35</v>
      </c>
      <c r="E39" t="s">
        <v>16</v>
      </c>
      <c r="F39" t="s">
        <v>17</v>
      </c>
      <c r="G39" t="s">
        <v>67</v>
      </c>
      <c r="H39" t="s">
        <v>68</v>
      </c>
      <c r="I39">
        <v>5</v>
      </c>
      <c r="J39">
        <v>0.05</v>
      </c>
      <c r="K39">
        <v>1717.22</v>
      </c>
      <c r="L39">
        <v>167.59</v>
      </c>
    </row>
    <row r="40" spans="1:12" x14ac:dyDescent="0.3">
      <c r="A40" t="s">
        <v>134</v>
      </c>
      <c r="B40" t="s">
        <v>135</v>
      </c>
      <c r="C40" t="s">
        <v>14</v>
      </c>
      <c r="D40" t="s">
        <v>15</v>
      </c>
      <c r="E40" t="s">
        <v>31</v>
      </c>
      <c r="F40" t="s">
        <v>17</v>
      </c>
      <c r="G40" t="s">
        <v>44</v>
      </c>
      <c r="H40" t="s">
        <v>82</v>
      </c>
      <c r="I40">
        <v>4</v>
      </c>
      <c r="J40">
        <v>0</v>
      </c>
      <c r="K40">
        <v>1506.6</v>
      </c>
      <c r="L40">
        <v>278.43</v>
      </c>
    </row>
    <row r="41" spans="1:12" x14ac:dyDescent="0.3">
      <c r="A41" t="s">
        <v>136</v>
      </c>
      <c r="B41" t="s">
        <v>137</v>
      </c>
      <c r="C41" t="s">
        <v>29</v>
      </c>
      <c r="D41" t="s">
        <v>93</v>
      </c>
      <c r="E41" t="s">
        <v>36</v>
      </c>
      <c r="F41" t="s">
        <v>63</v>
      </c>
      <c r="G41" t="s">
        <v>138</v>
      </c>
      <c r="H41" t="s">
        <v>139</v>
      </c>
      <c r="I41">
        <v>4</v>
      </c>
      <c r="J41">
        <v>0.05</v>
      </c>
      <c r="K41">
        <v>220.55</v>
      </c>
      <c r="L41">
        <v>42.28</v>
      </c>
    </row>
    <row r="42" spans="1:12" x14ac:dyDescent="0.3">
      <c r="A42" t="s">
        <v>140</v>
      </c>
      <c r="B42" t="s">
        <v>141</v>
      </c>
      <c r="C42" t="s">
        <v>14</v>
      </c>
      <c r="D42" t="s">
        <v>50</v>
      </c>
      <c r="E42" t="s">
        <v>36</v>
      </c>
      <c r="F42" t="s">
        <v>17</v>
      </c>
      <c r="G42" t="s">
        <v>67</v>
      </c>
      <c r="H42" t="s">
        <v>68</v>
      </c>
      <c r="I42">
        <v>2</v>
      </c>
      <c r="J42">
        <v>0.2</v>
      </c>
      <c r="K42">
        <v>109.04</v>
      </c>
      <c r="L42">
        <v>16.77</v>
      </c>
    </row>
    <row r="43" spans="1:12" x14ac:dyDescent="0.3">
      <c r="A43" t="s">
        <v>142</v>
      </c>
      <c r="B43" t="s">
        <v>143</v>
      </c>
      <c r="C43" t="s">
        <v>22</v>
      </c>
      <c r="D43" t="s">
        <v>30</v>
      </c>
      <c r="E43" t="s">
        <v>16</v>
      </c>
      <c r="F43" t="s">
        <v>63</v>
      </c>
      <c r="G43" t="s">
        <v>78</v>
      </c>
      <c r="H43" t="s">
        <v>79</v>
      </c>
      <c r="I43">
        <v>6</v>
      </c>
      <c r="J43">
        <v>0</v>
      </c>
      <c r="K43">
        <v>381.06</v>
      </c>
      <c r="L43">
        <v>59.51</v>
      </c>
    </row>
    <row r="44" spans="1:12" x14ac:dyDescent="0.3">
      <c r="A44" t="s">
        <v>144</v>
      </c>
      <c r="B44" t="s">
        <v>145</v>
      </c>
      <c r="C44" t="s">
        <v>14</v>
      </c>
      <c r="D44" t="s">
        <v>23</v>
      </c>
      <c r="E44" t="s">
        <v>36</v>
      </c>
      <c r="F44" t="s">
        <v>63</v>
      </c>
      <c r="G44" t="s">
        <v>97</v>
      </c>
      <c r="H44" t="s">
        <v>118</v>
      </c>
      <c r="I44">
        <v>1</v>
      </c>
      <c r="J44">
        <v>0</v>
      </c>
      <c r="K44">
        <v>56.62</v>
      </c>
      <c r="L44">
        <v>12.83</v>
      </c>
    </row>
    <row r="45" spans="1:12" x14ac:dyDescent="0.3">
      <c r="A45" t="s">
        <v>146</v>
      </c>
      <c r="B45" t="s">
        <v>145</v>
      </c>
      <c r="C45" t="s">
        <v>29</v>
      </c>
      <c r="D45" t="s">
        <v>15</v>
      </c>
      <c r="E45" t="s">
        <v>31</v>
      </c>
      <c r="F45" t="s">
        <v>63</v>
      </c>
      <c r="G45" t="s">
        <v>78</v>
      </c>
      <c r="H45" t="s">
        <v>124</v>
      </c>
      <c r="I45">
        <v>1</v>
      </c>
      <c r="J45">
        <v>0.15</v>
      </c>
      <c r="K45">
        <v>29.86</v>
      </c>
      <c r="L45">
        <v>2.23</v>
      </c>
    </row>
    <row r="46" spans="1:12" x14ac:dyDescent="0.3">
      <c r="A46" t="s">
        <v>147</v>
      </c>
      <c r="B46" t="s">
        <v>148</v>
      </c>
      <c r="C46" t="s">
        <v>47</v>
      </c>
      <c r="D46" t="s">
        <v>15</v>
      </c>
      <c r="E46" t="s">
        <v>36</v>
      </c>
      <c r="F46" t="s">
        <v>24</v>
      </c>
      <c r="G46" t="s">
        <v>32</v>
      </c>
      <c r="H46" t="s">
        <v>33</v>
      </c>
      <c r="I46">
        <v>2</v>
      </c>
      <c r="J46">
        <v>0.05</v>
      </c>
      <c r="K46">
        <v>230.39</v>
      </c>
      <c r="L46">
        <v>45.65</v>
      </c>
    </row>
    <row r="47" spans="1:12" x14ac:dyDescent="0.3">
      <c r="A47" t="s">
        <v>149</v>
      </c>
      <c r="B47" t="s">
        <v>148</v>
      </c>
      <c r="C47" t="s">
        <v>22</v>
      </c>
      <c r="D47" t="s">
        <v>50</v>
      </c>
      <c r="E47" t="s">
        <v>16</v>
      </c>
      <c r="F47" t="s">
        <v>63</v>
      </c>
      <c r="G47" t="s">
        <v>64</v>
      </c>
      <c r="H47" t="s">
        <v>87</v>
      </c>
      <c r="I47">
        <v>1</v>
      </c>
      <c r="J47">
        <v>0</v>
      </c>
      <c r="K47">
        <v>78.63</v>
      </c>
      <c r="L47">
        <v>4.2</v>
      </c>
    </row>
    <row r="48" spans="1:12" x14ac:dyDescent="0.3">
      <c r="A48" t="s">
        <v>150</v>
      </c>
      <c r="B48" t="s">
        <v>151</v>
      </c>
      <c r="C48" t="s">
        <v>22</v>
      </c>
      <c r="D48" t="s">
        <v>58</v>
      </c>
      <c r="E48" t="s">
        <v>36</v>
      </c>
      <c r="F48" t="s">
        <v>63</v>
      </c>
      <c r="G48" t="s">
        <v>78</v>
      </c>
      <c r="H48" t="s">
        <v>124</v>
      </c>
      <c r="I48">
        <v>6</v>
      </c>
      <c r="J48">
        <v>0.2</v>
      </c>
      <c r="K48">
        <v>299.42</v>
      </c>
      <c r="L48">
        <v>28.49</v>
      </c>
    </row>
    <row r="49" spans="1:12" x14ac:dyDescent="0.3">
      <c r="A49" t="s">
        <v>152</v>
      </c>
      <c r="B49" t="s">
        <v>153</v>
      </c>
      <c r="C49" t="s">
        <v>14</v>
      </c>
      <c r="D49" t="s">
        <v>23</v>
      </c>
      <c r="E49" t="s">
        <v>16</v>
      </c>
      <c r="F49" t="s">
        <v>63</v>
      </c>
      <c r="G49" t="s">
        <v>97</v>
      </c>
      <c r="H49" t="s">
        <v>98</v>
      </c>
      <c r="I49">
        <v>3</v>
      </c>
      <c r="J49">
        <v>0.1</v>
      </c>
      <c r="K49">
        <v>184.9</v>
      </c>
      <c r="L49">
        <v>6.38</v>
      </c>
    </row>
    <row r="50" spans="1:12" x14ac:dyDescent="0.3">
      <c r="A50" t="s">
        <v>154</v>
      </c>
      <c r="B50" t="s">
        <v>155</v>
      </c>
      <c r="C50" t="s">
        <v>14</v>
      </c>
      <c r="D50" t="s">
        <v>93</v>
      </c>
      <c r="E50" t="s">
        <v>36</v>
      </c>
      <c r="F50" t="s">
        <v>63</v>
      </c>
      <c r="G50" t="s">
        <v>78</v>
      </c>
      <c r="H50" t="s">
        <v>124</v>
      </c>
      <c r="I50">
        <v>8</v>
      </c>
      <c r="J50">
        <v>0</v>
      </c>
      <c r="K50">
        <v>218.56</v>
      </c>
      <c r="L50">
        <v>33.07</v>
      </c>
    </row>
    <row r="51" spans="1:12" x14ac:dyDescent="0.3">
      <c r="A51" t="s">
        <v>156</v>
      </c>
      <c r="B51" t="s">
        <v>157</v>
      </c>
      <c r="C51" t="s">
        <v>47</v>
      </c>
      <c r="D51" t="s">
        <v>43</v>
      </c>
      <c r="E51" t="s">
        <v>31</v>
      </c>
      <c r="F51" t="s">
        <v>63</v>
      </c>
      <c r="G51" t="s">
        <v>78</v>
      </c>
      <c r="H51" t="s">
        <v>124</v>
      </c>
      <c r="I51">
        <v>7</v>
      </c>
      <c r="J51">
        <v>0.1</v>
      </c>
      <c r="K51">
        <v>62.31</v>
      </c>
      <c r="L51">
        <v>10.29</v>
      </c>
    </row>
    <row r="52" spans="1:12" x14ac:dyDescent="0.3">
      <c r="A52" t="s">
        <v>158</v>
      </c>
      <c r="B52" t="s">
        <v>159</v>
      </c>
      <c r="C52" t="s">
        <v>29</v>
      </c>
      <c r="D52" t="s">
        <v>30</v>
      </c>
      <c r="E52" t="s">
        <v>36</v>
      </c>
      <c r="F52" t="s">
        <v>17</v>
      </c>
      <c r="G52" t="s">
        <v>18</v>
      </c>
      <c r="H52" t="s">
        <v>51</v>
      </c>
      <c r="I52">
        <v>1</v>
      </c>
      <c r="J52">
        <v>0.1</v>
      </c>
      <c r="K52">
        <v>138.69</v>
      </c>
      <c r="L52">
        <v>17.64</v>
      </c>
    </row>
    <row r="53" spans="1:12" x14ac:dyDescent="0.3">
      <c r="A53" t="s">
        <v>160</v>
      </c>
      <c r="B53" t="s">
        <v>161</v>
      </c>
      <c r="C53" t="s">
        <v>47</v>
      </c>
      <c r="D53" t="s">
        <v>58</v>
      </c>
      <c r="E53" t="s">
        <v>31</v>
      </c>
      <c r="F53" t="s">
        <v>63</v>
      </c>
      <c r="G53" t="s">
        <v>78</v>
      </c>
      <c r="H53" t="s">
        <v>115</v>
      </c>
      <c r="I53">
        <v>1</v>
      </c>
      <c r="J53">
        <v>0.05</v>
      </c>
      <c r="K53">
        <v>67.17</v>
      </c>
      <c r="L53">
        <v>5.15</v>
      </c>
    </row>
    <row r="54" spans="1:12" x14ac:dyDescent="0.3">
      <c r="A54" t="s">
        <v>162</v>
      </c>
      <c r="B54" t="s">
        <v>163</v>
      </c>
      <c r="C54" t="s">
        <v>14</v>
      </c>
      <c r="D54" t="s">
        <v>35</v>
      </c>
      <c r="E54" t="s">
        <v>36</v>
      </c>
      <c r="F54" t="s">
        <v>24</v>
      </c>
      <c r="G54" t="s">
        <v>25</v>
      </c>
      <c r="H54" t="s">
        <v>48</v>
      </c>
      <c r="I54">
        <v>6</v>
      </c>
      <c r="J54">
        <v>0.2</v>
      </c>
      <c r="K54">
        <v>4254.82</v>
      </c>
      <c r="L54">
        <v>221.1</v>
      </c>
    </row>
    <row r="55" spans="1:12" x14ac:dyDescent="0.3">
      <c r="A55" t="s">
        <v>164</v>
      </c>
      <c r="B55" t="s">
        <v>165</v>
      </c>
      <c r="C55" t="s">
        <v>47</v>
      </c>
      <c r="D55" t="s">
        <v>35</v>
      </c>
      <c r="E55" t="s">
        <v>31</v>
      </c>
      <c r="F55" t="s">
        <v>24</v>
      </c>
      <c r="G55" t="s">
        <v>59</v>
      </c>
      <c r="H55" t="s">
        <v>60</v>
      </c>
      <c r="I55">
        <v>1</v>
      </c>
      <c r="J55">
        <v>0.2</v>
      </c>
      <c r="K55">
        <v>533.26</v>
      </c>
      <c r="L55">
        <v>21.63</v>
      </c>
    </row>
    <row r="56" spans="1:12" x14ac:dyDescent="0.3">
      <c r="A56" t="s">
        <v>166</v>
      </c>
      <c r="B56" t="s">
        <v>167</v>
      </c>
      <c r="C56" t="s">
        <v>14</v>
      </c>
      <c r="D56" t="s">
        <v>15</v>
      </c>
      <c r="E56" t="s">
        <v>36</v>
      </c>
      <c r="F56" t="s">
        <v>17</v>
      </c>
      <c r="G56" t="s">
        <v>44</v>
      </c>
      <c r="H56" t="s">
        <v>82</v>
      </c>
      <c r="I56">
        <v>8</v>
      </c>
      <c r="J56">
        <v>0</v>
      </c>
      <c r="K56">
        <v>2879.6</v>
      </c>
      <c r="L56">
        <v>596.75</v>
      </c>
    </row>
    <row r="57" spans="1:12" x14ac:dyDescent="0.3">
      <c r="A57" t="s">
        <v>168</v>
      </c>
      <c r="B57" t="s">
        <v>167</v>
      </c>
      <c r="C57" t="s">
        <v>47</v>
      </c>
      <c r="D57" t="s">
        <v>15</v>
      </c>
      <c r="E57" t="s">
        <v>16</v>
      </c>
      <c r="F57" t="s">
        <v>17</v>
      </c>
      <c r="G57" t="s">
        <v>67</v>
      </c>
      <c r="H57" t="s">
        <v>68</v>
      </c>
      <c r="I57">
        <v>2</v>
      </c>
      <c r="J57">
        <v>0</v>
      </c>
      <c r="K57">
        <v>95.14</v>
      </c>
      <c r="L57">
        <v>14.05</v>
      </c>
    </row>
    <row r="58" spans="1:12" x14ac:dyDescent="0.3">
      <c r="A58" t="s">
        <v>169</v>
      </c>
      <c r="B58" t="s">
        <v>170</v>
      </c>
      <c r="C58" t="s">
        <v>47</v>
      </c>
      <c r="D58" t="s">
        <v>58</v>
      </c>
      <c r="E58" t="s">
        <v>36</v>
      </c>
      <c r="F58" t="s">
        <v>63</v>
      </c>
      <c r="G58" t="s">
        <v>97</v>
      </c>
      <c r="H58" t="s">
        <v>118</v>
      </c>
      <c r="I58">
        <v>2</v>
      </c>
      <c r="J58">
        <v>0.15</v>
      </c>
      <c r="K58">
        <v>38.11</v>
      </c>
      <c r="L58">
        <v>1.93</v>
      </c>
    </row>
    <row r="59" spans="1:12" x14ac:dyDescent="0.3">
      <c r="A59" t="s">
        <v>171</v>
      </c>
      <c r="B59" t="s">
        <v>172</v>
      </c>
      <c r="C59" t="s">
        <v>14</v>
      </c>
      <c r="D59" t="s">
        <v>93</v>
      </c>
      <c r="E59" t="s">
        <v>36</v>
      </c>
      <c r="F59" t="s">
        <v>17</v>
      </c>
      <c r="G59" t="s">
        <v>44</v>
      </c>
      <c r="H59" t="s">
        <v>82</v>
      </c>
      <c r="I59">
        <v>7</v>
      </c>
      <c r="J59">
        <v>0</v>
      </c>
      <c r="K59">
        <v>283.29000000000002</v>
      </c>
      <c r="L59">
        <v>65.52</v>
      </c>
    </row>
    <row r="60" spans="1:12" x14ac:dyDescent="0.3">
      <c r="A60" t="s">
        <v>173</v>
      </c>
      <c r="B60" t="s">
        <v>174</v>
      </c>
      <c r="C60" t="s">
        <v>14</v>
      </c>
      <c r="D60" t="s">
        <v>43</v>
      </c>
      <c r="E60" t="s">
        <v>36</v>
      </c>
      <c r="F60" t="s">
        <v>17</v>
      </c>
      <c r="G60" t="s">
        <v>18</v>
      </c>
      <c r="H60" t="s">
        <v>51</v>
      </c>
      <c r="I60">
        <v>2</v>
      </c>
      <c r="J60">
        <v>0.15</v>
      </c>
      <c r="K60">
        <v>89.57</v>
      </c>
      <c r="L60">
        <v>3.5</v>
      </c>
    </row>
    <row r="61" spans="1:12" x14ac:dyDescent="0.3">
      <c r="A61" t="s">
        <v>175</v>
      </c>
      <c r="B61" t="s">
        <v>176</v>
      </c>
      <c r="C61" t="s">
        <v>14</v>
      </c>
      <c r="D61" t="s">
        <v>43</v>
      </c>
      <c r="E61" t="s">
        <v>36</v>
      </c>
      <c r="F61" t="s">
        <v>24</v>
      </c>
      <c r="G61" t="s">
        <v>25</v>
      </c>
      <c r="H61" t="s">
        <v>48</v>
      </c>
      <c r="I61">
        <v>4</v>
      </c>
      <c r="J61">
        <v>0</v>
      </c>
      <c r="K61">
        <v>3584.04</v>
      </c>
      <c r="L61">
        <v>778.94</v>
      </c>
    </row>
    <row r="62" spans="1:12" x14ac:dyDescent="0.3">
      <c r="A62" t="s">
        <v>177</v>
      </c>
      <c r="B62" t="s">
        <v>178</v>
      </c>
      <c r="C62" t="s">
        <v>47</v>
      </c>
      <c r="D62" t="s">
        <v>58</v>
      </c>
      <c r="E62" t="s">
        <v>31</v>
      </c>
      <c r="F62" t="s">
        <v>63</v>
      </c>
      <c r="G62" t="s">
        <v>138</v>
      </c>
      <c r="H62" t="s">
        <v>179</v>
      </c>
      <c r="I62">
        <v>5</v>
      </c>
      <c r="J62">
        <v>0.15</v>
      </c>
      <c r="K62">
        <v>321.17</v>
      </c>
      <c r="L62">
        <v>36.21</v>
      </c>
    </row>
    <row r="63" spans="1:12" x14ac:dyDescent="0.3">
      <c r="A63" t="s">
        <v>180</v>
      </c>
      <c r="B63" t="s">
        <v>178</v>
      </c>
      <c r="C63" t="s">
        <v>29</v>
      </c>
      <c r="D63" t="s">
        <v>43</v>
      </c>
      <c r="E63" t="s">
        <v>16</v>
      </c>
      <c r="F63" t="s">
        <v>24</v>
      </c>
      <c r="G63" t="s">
        <v>54</v>
      </c>
      <c r="H63" t="s">
        <v>112</v>
      </c>
      <c r="I63">
        <v>2</v>
      </c>
      <c r="J63">
        <v>0.05</v>
      </c>
      <c r="K63">
        <v>937.54</v>
      </c>
      <c r="L63">
        <v>78.87</v>
      </c>
    </row>
    <row r="64" spans="1:12" x14ac:dyDescent="0.3">
      <c r="A64" t="s">
        <v>181</v>
      </c>
      <c r="B64" t="s">
        <v>182</v>
      </c>
      <c r="C64" t="s">
        <v>14</v>
      </c>
      <c r="D64" t="s">
        <v>30</v>
      </c>
      <c r="E64" t="s">
        <v>36</v>
      </c>
      <c r="F64" t="s">
        <v>17</v>
      </c>
      <c r="G64" t="s">
        <v>18</v>
      </c>
      <c r="H64" t="s">
        <v>51</v>
      </c>
      <c r="I64">
        <v>4</v>
      </c>
      <c r="J64">
        <v>0.15</v>
      </c>
      <c r="K64">
        <v>193.26</v>
      </c>
      <c r="L64">
        <v>5.69</v>
      </c>
    </row>
    <row r="65" spans="1:12" x14ac:dyDescent="0.3">
      <c r="A65" t="s">
        <v>183</v>
      </c>
      <c r="B65" t="s">
        <v>184</v>
      </c>
      <c r="C65" t="s">
        <v>14</v>
      </c>
      <c r="D65" t="s">
        <v>58</v>
      </c>
      <c r="E65" t="s">
        <v>31</v>
      </c>
      <c r="F65" t="s">
        <v>17</v>
      </c>
      <c r="G65" t="s">
        <v>67</v>
      </c>
      <c r="H65" t="s">
        <v>68</v>
      </c>
      <c r="I65">
        <v>7</v>
      </c>
      <c r="J65">
        <v>0</v>
      </c>
      <c r="K65">
        <v>540.26</v>
      </c>
      <c r="L65">
        <v>33.25</v>
      </c>
    </row>
    <row r="66" spans="1:12" x14ac:dyDescent="0.3">
      <c r="A66" t="s">
        <v>185</v>
      </c>
      <c r="B66" t="s">
        <v>186</v>
      </c>
      <c r="C66" t="s">
        <v>29</v>
      </c>
      <c r="D66" t="s">
        <v>43</v>
      </c>
      <c r="E66" t="s">
        <v>36</v>
      </c>
      <c r="F66" t="s">
        <v>63</v>
      </c>
      <c r="G66" t="s">
        <v>97</v>
      </c>
      <c r="H66" t="s">
        <v>118</v>
      </c>
      <c r="I66">
        <v>1</v>
      </c>
      <c r="J66">
        <v>0.2</v>
      </c>
      <c r="K66">
        <v>23.96</v>
      </c>
      <c r="L66">
        <v>2.69</v>
      </c>
    </row>
    <row r="67" spans="1:12" x14ac:dyDescent="0.3">
      <c r="A67" t="s">
        <v>187</v>
      </c>
      <c r="B67" t="s">
        <v>188</v>
      </c>
      <c r="C67" t="s">
        <v>14</v>
      </c>
      <c r="D67" t="s">
        <v>58</v>
      </c>
      <c r="E67" t="s">
        <v>16</v>
      </c>
      <c r="F67" t="s">
        <v>24</v>
      </c>
      <c r="G67" t="s">
        <v>25</v>
      </c>
      <c r="H67" t="s">
        <v>48</v>
      </c>
      <c r="I67">
        <v>7</v>
      </c>
      <c r="J67">
        <v>0</v>
      </c>
      <c r="K67">
        <v>3989.02</v>
      </c>
      <c r="L67">
        <v>915.86</v>
      </c>
    </row>
    <row r="68" spans="1:12" x14ac:dyDescent="0.3">
      <c r="A68" t="s">
        <v>189</v>
      </c>
      <c r="B68" t="s">
        <v>190</v>
      </c>
      <c r="C68" t="s">
        <v>29</v>
      </c>
      <c r="D68" t="s">
        <v>43</v>
      </c>
      <c r="E68" t="s">
        <v>31</v>
      </c>
      <c r="F68" t="s">
        <v>24</v>
      </c>
      <c r="G68" t="s">
        <v>25</v>
      </c>
      <c r="H68" t="s">
        <v>48</v>
      </c>
      <c r="I68">
        <v>8</v>
      </c>
      <c r="J68">
        <v>0.05</v>
      </c>
      <c r="K68">
        <v>5636.31</v>
      </c>
      <c r="L68">
        <v>363.97</v>
      </c>
    </row>
    <row r="69" spans="1:12" x14ac:dyDescent="0.3">
      <c r="A69" t="s">
        <v>191</v>
      </c>
      <c r="B69" t="s">
        <v>190</v>
      </c>
      <c r="C69" t="s">
        <v>22</v>
      </c>
      <c r="D69" t="s">
        <v>93</v>
      </c>
      <c r="E69" t="s">
        <v>31</v>
      </c>
      <c r="F69" t="s">
        <v>63</v>
      </c>
      <c r="G69" t="s">
        <v>97</v>
      </c>
      <c r="H69" t="s">
        <v>118</v>
      </c>
      <c r="I69">
        <v>5</v>
      </c>
      <c r="J69">
        <v>0.2</v>
      </c>
      <c r="K69">
        <v>281.12</v>
      </c>
      <c r="L69">
        <v>37.9</v>
      </c>
    </row>
    <row r="70" spans="1:12" x14ac:dyDescent="0.3">
      <c r="A70" t="s">
        <v>192</v>
      </c>
      <c r="B70" t="s">
        <v>193</v>
      </c>
      <c r="C70" t="s">
        <v>29</v>
      </c>
      <c r="D70" t="s">
        <v>30</v>
      </c>
      <c r="E70" t="s">
        <v>16</v>
      </c>
      <c r="F70" t="s">
        <v>63</v>
      </c>
      <c r="G70" t="s">
        <v>138</v>
      </c>
      <c r="H70" t="s">
        <v>139</v>
      </c>
      <c r="I70">
        <v>4</v>
      </c>
      <c r="J70">
        <v>0</v>
      </c>
      <c r="K70">
        <v>236.92</v>
      </c>
      <c r="L70">
        <v>59.2</v>
      </c>
    </row>
    <row r="71" spans="1:12" x14ac:dyDescent="0.3">
      <c r="A71" t="s">
        <v>194</v>
      </c>
      <c r="B71" t="s">
        <v>195</v>
      </c>
      <c r="C71" t="s">
        <v>47</v>
      </c>
      <c r="D71" t="s">
        <v>23</v>
      </c>
      <c r="E71" t="s">
        <v>16</v>
      </c>
      <c r="F71" t="s">
        <v>17</v>
      </c>
      <c r="G71" t="s">
        <v>40</v>
      </c>
      <c r="H71" t="s">
        <v>41</v>
      </c>
      <c r="I71">
        <v>3</v>
      </c>
      <c r="J71">
        <v>0.1</v>
      </c>
      <c r="K71">
        <v>661.36</v>
      </c>
      <c r="L71">
        <v>92.66</v>
      </c>
    </row>
    <row r="72" spans="1:12" x14ac:dyDescent="0.3">
      <c r="A72" t="s">
        <v>196</v>
      </c>
      <c r="B72" t="s">
        <v>195</v>
      </c>
      <c r="C72" t="s">
        <v>14</v>
      </c>
      <c r="D72" t="s">
        <v>35</v>
      </c>
      <c r="E72" t="s">
        <v>16</v>
      </c>
      <c r="F72" t="s">
        <v>63</v>
      </c>
      <c r="G72" t="s">
        <v>138</v>
      </c>
      <c r="H72" t="s">
        <v>179</v>
      </c>
      <c r="I72">
        <v>3</v>
      </c>
      <c r="J72">
        <v>0</v>
      </c>
      <c r="K72">
        <v>97.5</v>
      </c>
      <c r="L72">
        <v>19.079999999999998</v>
      </c>
    </row>
    <row r="73" spans="1:12" x14ac:dyDescent="0.3">
      <c r="A73" t="s">
        <v>197</v>
      </c>
      <c r="B73" t="s">
        <v>198</v>
      </c>
      <c r="C73" t="s">
        <v>22</v>
      </c>
      <c r="D73" t="s">
        <v>50</v>
      </c>
      <c r="E73" t="s">
        <v>16</v>
      </c>
      <c r="F73" t="s">
        <v>17</v>
      </c>
      <c r="G73" t="s">
        <v>67</v>
      </c>
      <c r="H73" t="s">
        <v>68</v>
      </c>
      <c r="I73">
        <v>5</v>
      </c>
      <c r="J73">
        <v>0.05</v>
      </c>
      <c r="K73">
        <v>1912.78</v>
      </c>
      <c r="L73">
        <v>292.55</v>
      </c>
    </row>
    <row r="74" spans="1:12" x14ac:dyDescent="0.3">
      <c r="A74" t="s">
        <v>199</v>
      </c>
      <c r="B74" t="s">
        <v>200</v>
      </c>
      <c r="C74" t="s">
        <v>22</v>
      </c>
      <c r="D74" t="s">
        <v>43</v>
      </c>
      <c r="E74" t="s">
        <v>36</v>
      </c>
      <c r="F74" t="s">
        <v>24</v>
      </c>
      <c r="G74" t="s">
        <v>54</v>
      </c>
      <c r="H74" t="s">
        <v>128</v>
      </c>
      <c r="I74">
        <v>3</v>
      </c>
      <c r="J74">
        <v>0</v>
      </c>
      <c r="K74">
        <v>1563.33</v>
      </c>
      <c r="L74">
        <v>193.49</v>
      </c>
    </row>
    <row r="75" spans="1:12" x14ac:dyDescent="0.3">
      <c r="A75" t="s">
        <v>201</v>
      </c>
      <c r="B75" t="s">
        <v>202</v>
      </c>
      <c r="C75" t="s">
        <v>47</v>
      </c>
      <c r="D75" t="s">
        <v>30</v>
      </c>
      <c r="E75" t="s">
        <v>36</v>
      </c>
      <c r="F75" t="s">
        <v>17</v>
      </c>
      <c r="G75" t="s">
        <v>40</v>
      </c>
      <c r="H75" t="s">
        <v>101</v>
      </c>
      <c r="I75">
        <v>7</v>
      </c>
      <c r="J75">
        <v>0</v>
      </c>
      <c r="K75">
        <v>933.45</v>
      </c>
      <c r="L75">
        <v>159.27000000000001</v>
      </c>
    </row>
    <row r="76" spans="1:12" x14ac:dyDescent="0.3">
      <c r="A76" t="s">
        <v>203</v>
      </c>
      <c r="B76" t="s">
        <v>204</v>
      </c>
      <c r="C76" t="s">
        <v>29</v>
      </c>
      <c r="D76" t="s">
        <v>15</v>
      </c>
      <c r="E76" t="s">
        <v>31</v>
      </c>
      <c r="F76" t="s">
        <v>17</v>
      </c>
      <c r="G76" t="s">
        <v>67</v>
      </c>
      <c r="H76" t="s">
        <v>205</v>
      </c>
      <c r="I76">
        <v>1</v>
      </c>
      <c r="J76">
        <v>0</v>
      </c>
      <c r="K76">
        <v>202.09</v>
      </c>
      <c r="L76">
        <v>20.440000000000001</v>
      </c>
    </row>
    <row r="77" spans="1:12" x14ac:dyDescent="0.3">
      <c r="A77" t="s">
        <v>206</v>
      </c>
      <c r="B77" t="s">
        <v>207</v>
      </c>
      <c r="C77" t="s">
        <v>47</v>
      </c>
      <c r="D77" t="s">
        <v>35</v>
      </c>
      <c r="E77" t="s">
        <v>31</v>
      </c>
      <c r="F77" t="s">
        <v>63</v>
      </c>
      <c r="G77" t="s">
        <v>138</v>
      </c>
      <c r="H77" t="s">
        <v>208</v>
      </c>
      <c r="I77">
        <v>1</v>
      </c>
      <c r="J77">
        <v>0</v>
      </c>
      <c r="K77">
        <v>8.7899999999999991</v>
      </c>
      <c r="L77">
        <v>1.01</v>
      </c>
    </row>
    <row r="78" spans="1:12" x14ac:dyDescent="0.3">
      <c r="A78" t="s">
        <v>209</v>
      </c>
      <c r="B78" t="s">
        <v>210</v>
      </c>
      <c r="C78" t="s">
        <v>29</v>
      </c>
      <c r="D78" t="s">
        <v>35</v>
      </c>
      <c r="E78" t="s">
        <v>36</v>
      </c>
      <c r="F78" t="s">
        <v>17</v>
      </c>
      <c r="G78" t="s">
        <v>40</v>
      </c>
      <c r="H78" t="s">
        <v>101</v>
      </c>
      <c r="I78">
        <v>7</v>
      </c>
      <c r="J78">
        <v>0</v>
      </c>
      <c r="K78">
        <v>967.4</v>
      </c>
      <c r="L78">
        <v>197.36</v>
      </c>
    </row>
    <row r="79" spans="1:12" x14ac:dyDescent="0.3">
      <c r="A79" t="s">
        <v>211</v>
      </c>
      <c r="B79" t="s">
        <v>212</v>
      </c>
      <c r="C79" t="s">
        <v>22</v>
      </c>
      <c r="D79" t="s">
        <v>15</v>
      </c>
      <c r="E79" t="s">
        <v>31</v>
      </c>
      <c r="F79" t="s">
        <v>24</v>
      </c>
      <c r="G79" t="s">
        <v>54</v>
      </c>
      <c r="H79" t="s">
        <v>128</v>
      </c>
      <c r="I79">
        <v>2</v>
      </c>
      <c r="J79">
        <v>0</v>
      </c>
      <c r="K79">
        <v>110.44</v>
      </c>
      <c r="L79">
        <v>6.13</v>
      </c>
    </row>
    <row r="80" spans="1:12" x14ac:dyDescent="0.3">
      <c r="A80" t="s">
        <v>213</v>
      </c>
      <c r="B80" t="s">
        <v>214</v>
      </c>
      <c r="C80" t="s">
        <v>29</v>
      </c>
      <c r="D80" t="s">
        <v>15</v>
      </c>
      <c r="E80" t="s">
        <v>31</v>
      </c>
      <c r="F80" t="s">
        <v>63</v>
      </c>
      <c r="G80" t="s">
        <v>138</v>
      </c>
      <c r="H80" t="s">
        <v>208</v>
      </c>
      <c r="I80">
        <v>1</v>
      </c>
      <c r="J80">
        <v>0</v>
      </c>
      <c r="K80">
        <v>62.81</v>
      </c>
      <c r="L80">
        <v>14.07</v>
      </c>
    </row>
    <row r="81" spans="1:12" x14ac:dyDescent="0.3">
      <c r="A81" t="s">
        <v>215</v>
      </c>
      <c r="B81" t="s">
        <v>214</v>
      </c>
      <c r="C81" t="s">
        <v>47</v>
      </c>
      <c r="D81" t="s">
        <v>30</v>
      </c>
      <c r="E81" t="s">
        <v>31</v>
      </c>
      <c r="F81" t="s">
        <v>63</v>
      </c>
      <c r="G81" t="s">
        <v>97</v>
      </c>
      <c r="H81" t="s">
        <v>216</v>
      </c>
      <c r="I81">
        <v>6</v>
      </c>
      <c r="J81">
        <v>0.1</v>
      </c>
      <c r="K81">
        <v>215.78</v>
      </c>
      <c r="L81">
        <v>16.170000000000002</v>
      </c>
    </row>
    <row r="82" spans="1:12" x14ac:dyDescent="0.3">
      <c r="A82" t="s">
        <v>217</v>
      </c>
      <c r="B82" t="s">
        <v>218</v>
      </c>
      <c r="C82" t="s">
        <v>47</v>
      </c>
      <c r="D82" t="s">
        <v>58</v>
      </c>
      <c r="E82" t="s">
        <v>31</v>
      </c>
      <c r="F82" t="s">
        <v>17</v>
      </c>
      <c r="G82" t="s">
        <v>67</v>
      </c>
      <c r="H82" t="s">
        <v>219</v>
      </c>
      <c r="I82">
        <v>3</v>
      </c>
      <c r="J82">
        <v>0.1</v>
      </c>
      <c r="K82">
        <v>766.37</v>
      </c>
      <c r="L82">
        <v>95.44</v>
      </c>
    </row>
    <row r="83" spans="1:12" x14ac:dyDescent="0.3">
      <c r="A83" t="s">
        <v>220</v>
      </c>
      <c r="B83" t="s">
        <v>221</v>
      </c>
      <c r="C83" t="s">
        <v>14</v>
      </c>
      <c r="D83" t="s">
        <v>35</v>
      </c>
      <c r="E83" t="s">
        <v>36</v>
      </c>
      <c r="F83" t="s">
        <v>24</v>
      </c>
      <c r="G83" t="s">
        <v>54</v>
      </c>
      <c r="H83" t="s">
        <v>112</v>
      </c>
      <c r="I83">
        <v>8</v>
      </c>
      <c r="J83">
        <v>0.15</v>
      </c>
      <c r="K83">
        <v>3266.52</v>
      </c>
      <c r="L83">
        <v>268.42</v>
      </c>
    </row>
    <row r="84" spans="1:12" x14ac:dyDescent="0.3">
      <c r="A84" t="s">
        <v>222</v>
      </c>
      <c r="B84" t="s">
        <v>221</v>
      </c>
      <c r="C84" t="s">
        <v>47</v>
      </c>
      <c r="D84" t="s">
        <v>23</v>
      </c>
      <c r="E84" t="s">
        <v>16</v>
      </c>
      <c r="F84" t="s">
        <v>24</v>
      </c>
      <c r="G84" t="s">
        <v>59</v>
      </c>
      <c r="H84" t="s">
        <v>73</v>
      </c>
      <c r="I84">
        <v>8</v>
      </c>
      <c r="J84">
        <v>0.1</v>
      </c>
      <c r="K84">
        <v>4389.55</v>
      </c>
      <c r="L84">
        <v>587.58000000000004</v>
      </c>
    </row>
    <row r="85" spans="1:12" x14ac:dyDescent="0.3">
      <c r="A85" t="s">
        <v>223</v>
      </c>
      <c r="B85" t="s">
        <v>221</v>
      </c>
      <c r="C85" t="s">
        <v>29</v>
      </c>
      <c r="D85" t="s">
        <v>43</v>
      </c>
      <c r="E85" t="s">
        <v>36</v>
      </c>
      <c r="F85" t="s">
        <v>17</v>
      </c>
      <c r="G85" t="s">
        <v>44</v>
      </c>
      <c r="H85" t="s">
        <v>45</v>
      </c>
      <c r="I85">
        <v>5</v>
      </c>
      <c r="J85">
        <v>0.1</v>
      </c>
      <c r="K85">
        <v>1472.81</v>
      </c>
      <c r="L85">
        <v>284.22000000000003</v>
      </c>
    </row>
    <row r="86" spans="1:12" x14ac:dyDescent="0.3">
      <c r="A86" t="s">
        <v>224</v>
      </c>
      <c r="B86" t="s">
        <v>225</v>
      </c>
      <c r="C86" t="s">
        <v>22</v>
      </c>
      <c r="D86" t="s">
        <v>30</v>
      </c>
      <c r="E86" t="s">
        <v>31</v>
      </c>
      <c r="F86" t="s">
        <v>24</v>
      </c>
      <c r="G86" t="s">
        <v>59</v>
      </c>
      <c r="H86" t="s">
        <v>109</v>
      </c>
      <c r="I86">
        <v>3</v>
      </c>
      <c r="J86">
        <v>0.1</v>
      </c>
      <c r="K86">
        <v>1897.94</v>
      </c>
      <c r="L86">
        <v>128.03</v>
      </c>
    </row>
    <row r="87" spans="1:12" x14ac:dyDescent="0.3">
      <c r="A87" t="s">
        <v>226</v>
      </c>
      <c r="B87" t="s">
        <v>227</v>
      </c>
      <c r="C87" t="s">
        <v>29</v>
      </c>
      <c r="D87" t="s">
        <v>43</v>
      </c>
      <c r="E87" t="s">
        <v>16</v>
      </c>
      <c r="F87" t="s">
        <v>63</v>
      </c>
      <c r="G87" t="s">
        <v>138</v>
      </c>
      <c r="H87" t="s">
        <v>179</v>
      </c>
      <c r="I87">
        <v>5</v>
      </c>
      <c r="J87">
        <v>0.15</v>
      </c>
      <c r="K87">
        <v>81.64</v>
      </c>
      <c r="L87">
        <v>11.29</v>
      </c>
    </row>
    <row r="88" spans="1:12" x14ac:dyDescent="0.3">
      <c r="A88" t="s">
        <v>228</v>
      </c>
      <c r="B88" t="s">
        <v>227</v>
      </c>
      <c r="C88" t="s">
        <v>29</v>
      </c>
      <c r="D88" t="s">
        <v>50</v>
      </c>
      <c r="E88" t="s">
        <v>36</v>
      </c>
      <c r="F88" t="s">
        <v>17</v>
      </c>
      <c r="G88" t="s">
        <v>44</v>
      </c>
      <c r="H88" t="s">
        <v>82</v>
      </c>
      <c r="I88">
        <v>3</v>
      </c>
      <c r="J88">
        <v>0.15</v>
      </c>
      <c r="K88">
        <v>647.27</v>
      </c>
      <c r="L88">
        <v>83.4</v>
      </c>
    </row>
    <row r="89" spans="1:12" x14ac:dyDescent="0.3">
      <c r="A89" t="s">
        <v>229</v>
      </c>
      <c r="B89" t="s">
        <v>230</v>
      </c>
      <c r="C89" t="s">
        <v>22</v>
      </c>
      <c r="D89" t="s">
        <v>35</v>
      </c>
      <c r="E89" t="s">
        <v>36</v>
      </c>
      <c r="F89" t="s">
        <v>24</v>
      </c>
      <c r="G89" t="s">
        <v>54</v>
      </c>
      <c r="H89" t="s">
        <v>112</v>
      </c>
      <c r="I89">
        <v>2</v>
      </c>
      <c r="J89">
        <v>0.15</v>
      </c>
      <c r="K89">
        <v>418.11</v>
      </c>
      <c r="L89">
        <v>15.05</v>
      </c>
    </row>
    <row r="90" spans="1:12" x14ac:dyDescent="0.3">
      <c r="A90" t="s">
        <v>231</v>
      </c>
      <c r="B90" t="s">
        <v>232</v>
      </c>
      <c r="C90" t="s">
        <v>47</v>
      </c>
      <c r="D90" t="s">
        <v>15</v>
      </c>
      <c r="E90" t="s">
        <v>16</v>
      </c>
      <c r="F90" t="s">
        <v>17</v>
      </c>
      <c r="G90" t="s">
        <v>67</v>
      </c>
      <c r="H90" t="s">
        <v>219</v>
      </c>
      <c r="I90">
        <v>6</v>
      </c>
      <c r="J90">
        <v>0.05</v>
      </c>
      <c r="K90">
        <v>977.61</v>
      </c>
      <c r="L90">
        <v>64.03</v>
      </c>
    </row>
    <row r="91" spans="1:12" x14ac:dyDescent="0.3">
      <c r="A91" t="s">
        <v>233</v>
      </c>
      <c r="B91" t="s">
        <v>232</v>
      </c>
      <c r="C91" t="s">
        <v>22</v>
      </c>
      <c r="D91" t="s">
        <v>43</v>
      </c>
      <c r="E91" t="s">
        <v>31</v>
      </c>
      <c r="F91" t="s">
        <v>63</v>
      </c>
      <c r="G91" t="s">
        <v>64</v>
      </c>
      <c r="H91" t="s">
        <v>87</v>
      </c>
      <c r="I91">
        <v>7</v>
      </c>
      <c r="J91">
        <v>0.15</v>
      </c>
      <c r="K91">
        <v>392.46</v>
      </c>
      <c r="L91">
        <v>18.79</v>
      </c>
    </row>
    <row r="92" spans="1:12" x14ac:dyDescent="0.3">
      <c r="A92" t="s">
        <v>234</v>
      </c>
      <c r="B92" t="s">
        <v>235</v>
      </c>
      <c r="C92" t="s">
        <v>14</v>
      </c>
      <c r="D92" t="s">
        <v>30</v>
      </c>
      <c r="E92" t="s">
        <v>36</v>
      </c>
      <c r="F92" t="s">
        <v>17</v>
      </c>
      <c r="G92" t="s">
        <v>18</v>
      </c>
      <c r="H92" t="s">
        <v>51</v>
      </c>
      <c r="I92">
        <v>8</v>
      </c>
      <c r="J92">
        <v>0.2</v>
      </c>
      <c r="K92">
        <v>1537.34</v>
      </c>
      <c r="L92">
        <v>270.16000000000003</v>
      </c>
    </row>
    <row r="93" spans="1:12" x14ac:dyDescent="0.3">
      <c r="A93" t="s">
        <v>236</v>
      </c>
      <c r="B93" t="s">
        <v>237</v>
      </c>
      <c r="C93" t="s">
        <v>29</v>
      </c>
      <c r="D93" t="s">
        <v>50</v>
      </c>
      <c r="E93" t="s">
        <v>16</v>
      </c>
      <c r="F93" t="s">
        <v>17</v>
      </c>
      <c r="G93" t="s">
        <v>18</v>
      </c>
      <c r="H93" t="s">
        <v>19</v>
      </c>
      <c r="I93">
        <v>4</v>
      </c>
      <c r="J93">
        <v>0.05</v>
      </c>
      <c r="K93">
        <v>300.73</v>
      </c>
      <c r="L93">
        <v>65.040000000000006</v>
      </c>
    </row>
    <row r="94" spans="1:12" x14ac:dyDescent="0.3">
      <c r="A94" t="s">
        <v>238</v>
      </c>
      <c r="B94" t="s">
        <v>237</v>
      </c>
      <c r="C94" t="s">
        <v>22</v>
      </c>
      <c r="D94" t="s">
        <v>93</v>
      </c>
      <c r="E94" t="s">
        <v>16</v>
      </c>
      <c r="F94" t="s">
        <v>17</v>
      </c>
      <c r="G94" t="s">
        <v>67</v>
      </c>
      <c r="H94" t="s">
        <v>68</v>
      </c>
      <c r="I94">
        <v>6</v>
      </c>
      <c r="J94">
        <v>0.05</v>
      </c>
      <c r="K94">
        <v>2355.0700000000002</v>
      </c>
      <c r="L94">
        <v>394.3</v>
      </c>
    </row>
    <row r="95" spans="1:12" x14ac:dyDescent="0.3">
      <c r="A95" t="s">
        <v>239</v>
      </c>
      <c r="B95" t="s">
        <v>240</v>
      </c>
      <c r="C95" t="s">
        <v>22</v>
      </c>
      <c r="D95" t="s">
        <v>35</v>
      </c>
      <c r="E95" t="s">
        <v>31</v>
      </c>
      <c r="F95" t="s">
        <v>17</v>
      </c>
      <c r="G95" t="s">
        <v>18</v>
      </c>
      <c r="H95" t="s">
        <v>241</v>
      </c>
      <c r="I95">
        <v>5</v>
      </c>
      <c r="J95">
        <v>0.1</v>
      </c>
      <c r="K95">
        <v>1926</v>
      </c>
      <c r="L95">
        <v>213.16</v>
      </c>
    </row>
    <row r="96" spans="1:12" x14ac:dyDescent="0.3">
      <c r="A96" t="s">
        <v>242</v>
      </c>
      <c r="B96" t="s">
        <v>243</v>
      </c>
      <c r="C96" t="s">
        <v>47</v>
      </c>
      <c r="D96" t="s">
        <v>43</v>
      </c>
      <c r="E96" t="s">
        <v>31</v>
      </c>
      <c r="F96" t="s">
        <v>24</v>
      </c>
      <c r="G96" t="s">
        <v>32</v>
      </c>
      <c r="H96" t="s">
        <v>37</v>
      </c>
      <c r="I96">
        <v>4</v>
      </c>
      <c r="J96">
        <v>0</v>
      </c>
      <c r="K96">
        <v>2164.48</v>
      </c>
      <c r="L96">
        <v>318.56</v>
      </c>
    </row>
    <row r="97" spans="1:12" x14ac:dyDescent="0.3">
      <c r="A97" t="s">
        <v>244</v>
      </c>
      <c r="B97" t="s">
        <v>245</v>
      </c>
      <c r="C97" t="s">
        <v>14</v>
      </c>
      <c r="D97" t="s">
        <v>30</v>
      </c>
      <c r="E97" t="s">
        <v>16</v>
      </c>
      <c r="F97" t="s">
        <v>63</v>
      </c>
      <c r="G97" t="s">
        <v>97</v>
      </c>
      <c r="H97" t="s">
        <v>98</v>
      </c>
      <c r="I97">
        <v>7</v>
      </c>
      <c r="J97">
        <v>0.05</v>
      </c>
      <c r="K97">
        <v>382.24</v>
      </c>
      <c r="L97">
        <v>14.34</v>
      </c>
    </row>
    <row r="98" spans="1:12" x14ac:dyDescent="0.3">
      <c r="A98" t="s">
        <v>246</v>
      </c>
      <c r="B98" t="s">
        <v>247</v>
      </c>
      <c r="C98" t="s">
        <v>47</v>
      </c>
      <c r="D98" t="s">
        <v>23</v>
      </c>
      <c r="E98" t="s">
        <v>31</v>
      </c>
      <c r="F98" t="s">
        <v>17</v>
      </c>
      <c r="G98" t="s">
        <v>44</v>
      </c>
      <c r="H98" t="s">
        <v>45</v>
      </c>
      <c r="I98">
        <v>1</v>
      </c>
      <c r="J98">
        <v>0.05</v>
      </c>
      <c r="K98">
        <v>141.91</v>
      </c>
      <c r="L98">
        <v>16.440000000000001</v>
      </c>
    </row>
    <row r="99" spans="1:12" x14ac:dyDescent="0.3">
      <c r="A99" t="s">
        <v>248</v>
      </c>
      <c r="B99" t="s">
        <v>249</v>
      </c>
      <c r="C99" t="s">
        <v>22</v>
      </c>
      <c r="D99" t="s">
        <v>30</v>
      </c>
      <c r="E99" t="s">
        <v>16</v>
      </c>
      <c r="F99" t="s">
        <v>63</v>
      </c>
      <c r="G99" t="s">
        <v>64</v>
      </c>
      <c r="H99" t="s">
        <v>87</v>
      </c>
      <c r="I99">
        <v>5</v>
      </c>
      <c r="J99">
        <v>0</v>
      </c>
      <c r="K99">
        <v>327.14999999999998</v>
      </c>
      <c r="L99">
        <v>39.020000000000003</v>
      </c>
    </row>
    <row r="100" spans="1:12" x14ac:dyDescent="0.3">
      <c r="A100" t="s">
        <v>250</v>
      </c>
      <c r="B100" t="s">
        <v>251</v>
      </c>
      <c r="C100" t="s">
        <v>22</v>
      </c>
      <c r="D100" t="s">
        <v>23</v>
      </c>
      <c r="E100" t="s">
        <v>16</v>
      </c>
      <c r="F100" t="s">
        <v>17</v>
      </c>
      <c r="G100" t="s">
        <v>67</v>
      </c>
      <c r="H100" t="s">
        <v>68</v>
      </c>
      <c r="I100">
        <v>5</v>
      </c>
      <c r="J100">
        <v>0.15</v>
      </c>
      <c r="K100">
        <v>1320.94</v>
      </c>
      <c r="L100">
        <v>157.04</v>
      </c>
    </row>
    <row r="101" spans="1:12" x14ac:dyDescent="0.3">
      <c r="A101" t="s">
        <v>252</v>
      </c>
      <c r="B101" t="s">
        <v>253</v>
      </c>
      <c r="C101" t="s">
        <v>29</v>
      </c>
      <c r="D101" t="s">
        <v>35</v>
      </c>
      <c r="E101" t="s">
        <v>36</v>
      </c>
      <c r="F101" t="s">
        <v>63</v>
      </c>
      <c r="G101" t="s">
        <v>64</v>
      </c>
      <c r="H101" t="s">
        <v>87</v>
      </c>
      <c r="I101">
        <v>7</v>
      </c>
      <c r="J101">
        <v>0.05</v>
      </c>
      <c r="K101">
        <v>167.98</v>
      </c>
      <c r="L101">
        <v>19.100000000000001</v>
      </c>
    </row>
    <row r="102" spans="1:12" x14ac:dyDescent="0.3">
      <c r="A102" t="s">
        <v>254</v>
      </c>
      <c r="B102" t="s">
        <v>255</v>
      </c>
      <c r="C102" t="s">
        <v>14</v>
      </c>
      <c r="D102" t="s">
        <v>35</v>
      </c>
      <c r="E102" t="s">
        <v>16</v>
      </c>
      <c r="F102" t="s">
        <v>17</v>
      </c>
      <c r="G102" t="s">
        <v>67</v>
      </c>
      <c r="H102" t="s">
        <v>219</v>
      </c>
      <c r="I102">
        <v>3</v>
      </c>
      <c r="J102">
        <v>0</v>
      </c>
      <c r="K102">
        <v>836.52</v>
      </c>
      <c r="L102">
        <v>63.99</v>
      </c>
    </row>
    <row r="103" spans="1:12" x14ac:dyDescent="0.3">
      <c r="A103" t="s">
        <v>256</v>
      </c>
      <c r="B103" t="s">
        <v>257</v>
      </c>
      <c r="C103" t="s">
        <v>14</v>
      </c>
      <c r="D103" t="s">
        <v>23</v>
      </c>
      <c r="E103" t="s">
        <v>31</v>
      </c>
      <c r="F103" t="s">
        <v>24</v>
      </c>
      <c r="G103" t="s">
        <v>54</v>
      </c>
      <c r="H103" t="s">
        <v>128</v>
      </c>
      <c r="I103">
        <v>1</v>
      </c>
      <c r="J103">
        <v>0</v>
      </c>
      <c r="K103">
        <v>460.38</v>
      </c>
      <c r="L103">
        <v>23.22</v>
      </c>
    </row>
    <row r="104" spans="1:12" x14ac:dyDescent="0.3">
      <c r="A104" t="s">
        <v>258</v>
      </c>
      <c r="B104" t="s">
        <v>259</v>
      </c>
      <c r="C104" t="s">
        <v>47</v>
      </c>
      <c r="D104" t="s">
        <v>50</v>
      </c>
      <c r="E104" t="s">
        <v>31</v>
      </c>
      <c r="F104" t="s">
        <v>17</v>
      </c>
      <c r="G104" t="s">
        <v>44</v>
      </c>
      <c r="H104" t="s">
        <v>82</v>
      </c>
      <c r="I104">
        <v>5</v>
      </c>
      <c r="J104">
        <v>0</v>
      </c>
      <c r="K104">
        <v>1722.2</v>
      </c>
      <c r="L104">
        <v>268.39999999999998</v>
      </c>
    </row>
    <row r="105" spans="1:12" x14ac:dyDescent="0.3">
      <c r="A105" t="s">
        <v>260</v>
      </c>
      <c r="B105" t="s">
        <v>261</v>
      </c>
      <c r="C105" t="s">
        <v>29</v>
      </c>
      <c r="D105" t="s">
        <v>23</v>
      </c>
      <c r="E105" t="s">
        <v>31</v>
      </c>
      <c r="F105" t="s">
        <v>63</v>
      </c>
      <c r="G105" t="s">
        <v>64</v>
      </c>
      <c r="H105" t="s">
        <v>87</v>
      </c>
      <c r="I105">
        <v>1</v>
      </c>
      <c r="J105">
        <v>0.1</v>
      </c>
      <c r="K105">
        <v>27.64</v>
      </c>
      <c r="L105">
        <v>4.6399999999999997</v>
      </c>
    </row>
    <row r="106" spans="1:12" x14ac:dyDescent="0.3">
      <c r="A106" t="s">
        <v>262</v>
      </c>
      <c r="B106" t="s">
        <v>263</v>
      </c>
      <c r="C106" t="s">
        <v>29</v>
      </c>
      <c r="D106" t="s">
        <v>35</v>
      </c>
      <c r="E106" t="s">
        <v>36</v>
      </c>
      <c r="F106" t="s">
        <v>24</v>
      </c>
      <c r="G106" t="s">
        <v>25</v>
      </c>
      <c r="H106" t="s">
        <v>26</v>
      </c>
      <c r="I106">
        <v>5</v>
      </c>
      <c r="J106">
        <v>0</v>
      </c>
      <c r="K106">
        <v>2120.15</v>
      </c>
      <c r="L106">
        <v>405.48</v>
      </c>
    </row>
    <row r="107" spans="1:12" x14ac:dyDescent="0.3">
      <c r="A107" t="s">
        <v>264</v>
      </c>
      <c r="B107" t="s">
        <v>265</v>
      </c>
      <c r="C107" t="s">
        <v>14</v>
      </c>
      <c r="D107" t="s">
        <v>23</v>
      </c>
      <c r="E107" t="s">
        <v>16</v>
      </c>
      <c r="F107" t="s">
        <v>63</v>
      </c>
      <c r="G107" t="s">
        <v>78</v>
      </c>
      <c r="H107" t="s">
        <v>79</v>
      </c>
      <c r="I107">
        <v>7</v>
      </c>
      <c r="J107">
        <v>0</v>
      </c>
      <c r="K107">
        <v>250.67</v>
      </c>
      <c r="L107">
        <v>44.2</v>
      </c>
    </row>
    <row r="108" spans="1:12" x14ac:dyDescent="0.3">
      <c r="A108" t="s">
        <v>266</v>
      </c>
      <c r="B108" t="s">
        <v>267</v>
      </c>
      <c r="C108" t="s">
        <v>47</v>
      </c>
      <c r="D108" t="s">
        <v>50</v>
      </c>
      <c r="E108" t="s">
        <v>16</v>
      </c>
      <c r="F108" t="s">
        <v>63</v>
      </c>
      <c r="G108" t="s">
        <v>64</v>
      </c>
      <c r="H108" t="s">
        <v>94</v>
      </c>
      <c r="I108">
        <v>1</v>
      </c>
      <c r="J108">
        <v>0</v>
      </c>
      <c r="K108">
        <v>2.61</v>
      </c>
      <c r="L108">
        <v>0.32</v>
      </c>
    </row>
    <row r="109" spans="1:12" x14ac:dyDescent="0.3">
      <c r="A109" t="s">
        <v>268</v>
      </c>
      <c r="B109" t="s">
        <v>269</v>
      </c>
      <c r="C109" t="s">
        <v>14</v>
      </c>
      <c r="D109" t="s">
        <v>93</v>
      </c>
      <c r="E109" t="s">
        <v>16</v>
      </c>
      <c r="F109" t="s">
        <v>24</v>
      </c>
      <c r="G109" t="s">
        <v>32</v>
      </c>
      <c r="H109" t="s">
        <v>37</v>
      </c>
      <c r="I109">
        <v>8</v>
      </c>
      <c r="J109">
        <v>0.15</v>
      </c>
      <c r="K109">
        <v>1963.7</v>
      </c>
      <c r="L109">
        <v>56.73</v>
      </c>
    </row>
    <row r="110" spans="1:12" x14ac:dyDescent="0.3">
      <c r="A110" t="s">
        <v>270</v>
      </c>
      <c r="B110" t="s">
        <v>269</v>
      </c>
      <c r="C110" t="s">
        <v>29</v>
      </c>
      <c r="D110" t="s">
        <v>35</v>
      </c>
      <c r="E110" t="s">
        <v>36</v>
      </c>
      <c r="F110" t="s">
        <v>17</v>
      </c>
      <c r="G110" t="s">
        <v>40</v>
      </c>
      <c r="H110" t="s">
        <v>101</v>
      </c>
      <c r="I110">
        <v>3</v>
      </c>
      <c r="J110">
        <v>0</v>
      </c>
      <c r="K110">
        <v>963.06</v>
      </c>
      <c r="L110">
        <v>222.27</v>
      </c>
    </row>
    <row r="111" spans="1:12" x14ac:dyDescent="0.3">
      <c r="A111" t="s">
        <v>271</v>
      </c>
      <c r="B111" t="s">
        <v>272</v>
      </c>
      <c r="C111" t="s">
        <v>14</v>
      </c>
      <c r="D111" t="s">
        <v>93</v>
      </c>
      <c r="E111" t="s">
        <v>31</v>
      </c>
      <c r="F111" t="s">
        <v>24</v>
      </c>
      <c r="G111" t="s">
        <v>59</v>
      </c>
      <c r="H111" t="s">
        <v>90</v>
      </c>
      <c r="I111">
        <v>4</v>
      </c>
      <c r="J111">
        <v>0.1</v>
      </c>
      <c r="K111">
        <v>2529.7199999999998</v>
      </c>
      <c r="L111">
        <v>538.16999999999996</v>
      </c>
    </row>
    <row r="112" spans="1:12" x14ac:dyDescent="0.3">
      <c r="A112" t="s">
        <v>273</v>
      </c>
      <c r="B112" t="s">
        <v>274</v>
      </c>
      <c r="C112" t="s">
        <v>29</v>
      </c>
      <c r="D112" t="s">
        <v>23</v>
      </c>
      <c r="E112" t="s">
        <v>31</v>
      </c>
      <c r="F112" t="s">
        <v>63</v>
      </c>
      <c r="G112" t="s">
        <v>78</v>
      </c>
      <c r="H112" t="s">
        <v>115</v>
      </c>
      <c r="I112">
        <v>3</v>
      </c>
      <c r="J112">
        <v>0</v>
      </c>
      <c r="K112">
        <v>96.99</v>
      </c>
      <c r="L112">
        <v>16.260000000000002</v>
      </c>
    </row>
    <row r="113" spans="1:12" x14ac:dyDescent="0.3">
      <c r="A113" t="s">
        <v>275</v>
      </c>
      <c r="B113" t="s">
        <v>274</v>
      </c>
      <c r="C113" t="s">
        <v>47</v>
      </c>
      <c r="D113" t="s">
        <v>30</v>
      </c>
      <c r="E113" t="s">
        <v>31</v>
      </c>
      <c r="F113" t="s">
        <v>24</v>
      </c>
      <c r="G113" t="s">
        <v>59</v>
      </c>
      <c r="H113" t="s">
        <v>90</v>
      </c>
      <c r="I113">
        <v>5</v>
      </c>
      <c r="J113">
        <v>0.05</v>
      </c>
      <c r="K113">
        <v>1396.59</v>
      </c>
      <c r="L113">
        <v>206.96</v>
      </c>
    </row>
    <row r="114" spans="1:12" x14ac:dyDescent="0.3">
      <c r="A114" t="s">
        <v>276</v>
      </c>
      <c r="B114" t="s">
        <v>277</v>
      </c>
      <c r="C114" t="s">
        <v>29</v>
      </c>
      <c r="D114" t="s">
        <v>50</v>
      </c>
      <c r="E114" t="s">
        <v>31</v>
      </c>
      <c r="F114" t="s">
        <v>17</v>
      </c>
      <c r="G114" t="s">
        <v>44</v>
      </c>
      <c r="H114" t="s">
        <v>45</v>
      </c>
      <c r="I114">
        <v>6</v>
      </c>
      <c r="J114">
        <v>0.15</v>
      </c>
      <c r="K114">
        <v>1838.45</v>
      </c>
      <c r="L114">
        <v>207.14</v>
      </c>
    </row>
    <row r="115" spans="1:12" x14ac:dyDescent="0.3">
      <c r="A115" t="s">
        <v>278</v>
      </c>
      <c r="B115" t="s">
        <v>279</v>
      </c>
      <c r="C115" t="s">
        <v>22</v>
      </c>
      <c r="D115" t="s">
        <v>93</v>
      </c>
      <c r="E115" t="s">
        <v>31</v>
      </c>
      <c r="F115" t="s">
        <v>63</v>
      </c>
      <c r="G115" t="s">
        <v>97</v>
      </c>
      <c r="H115" t="s">
        <v>216</v>
      </c>
      <c r="I115">
        <v>1</v>
      </c>
      <c r="J115">
        <v>0</v>
      </c>
      <c r="K115">
        <v>31.82</v>
      </c>
      <c r="L115">
        <v>4.97</v>
      </c>
    </row>
    <row r="116" spans="1:12" x14ac:dyDescent="0.3">
      <c r="A116" t="s">
        <v>280</v>
      </c>
      <c r="B116" t="s">
        <v>281</v>
      </c>
      <c r="C116" t="s">
        <v>47</v>
      </c>
      <c r="D116" t="s">
        <v>58</v>
      </c>
      <c r="E116" t="s">
        <v>36</v>
      </c>
      <c r="F116" t="s">
        <v>17</v>
      </c>
      <c r="G116" t="s">
        <v>44</v>
      </c>
      <c r="H116" t="s">
        <v>45</v>
      </c>
      <c r="I116">
        <v>7</v>
      </c>
      <c r="J116">
        <v>0</v>
      </c>
      <c r="K116">
        <v>2138.85</v>
      </c>
      <c r="L116">
        <v>249.3</v>
      </c>
    </row>
    <row r="117" spans="1:12" x14ac:dyDescent="0.3">
      <c r="A117" t="s">
        <v>282</v>
      </c>
      <c r="B117" t="s">
        <v>283</v>
      </c>
      <c r="C117" t="s">
        <v>14</v>
      </c>
      <c r="D117" t="s">
        <v>58</v>
      </c>
      <c r="E117" t="s">
        <v>36</v>
      </c>
      <c r="F117" t="s">
        <v>63</v>
      </c>
      <c r="G117" t="s">
        <v>138</v>
      </c>
      <c r="H117" t="s">
        <v>179</v>
      </c>
      <c r="I117">
        <v>8</v>
      </c>
      <c r="J117">
        <v>0.2</v>
      </c>
      <c r="K117">
        <v>397.18</v>
      </c>
      <c r="L117">
        <v>49.38</v>
      </c>
    </row>
    <row r="118" spans="1:12" x14ac:dyDescent="0.3">
      <c r="A118" t="s">
        <v>284</v>
      </c>
      <c r="B118" t="s">
        <v>283</v>
      </c>
      <c r="C118" t="s">
        <v>22</v>
      </c>
      <c r="D118" t="s">
        <v>93</v>
      </c>
      <c r="E118" t="s">
        <v>31</v>
      </c>
      <c r="F118" t="s">
        <v>17</v>
      </c>
      <c r="G118" t="s">
        <v>44</v>
      </c>
      <c r="H118" t="s">
        <v>82</v>
      </c>
      <c r="I118">
        <v>4</v>
      </c>
      <c r="J118">
        <v>0</v>
      </c>
      <c r="K118">
        <v>286.8</v>
      </c>
      <c r="L118">
        <v>51.62</v>
      </c>
    </row>
    <row r="119" spans="1:12" x14ac:dyDescent="0.3">
      <c r="A119" t="s">
        <v>285</v>
      </c>
      <c r="B119" t="s">
        <v>286</v>
      </c>
      <c r="C119" t="s">
        <v>22</v>
      </c>
      <c r="D119" t="s">
        <v>43</v>
      </c>
      <c r="E119" t="s">
        <v>16</v>
      </c>
      <c r="F119" t="s">
        <v>24</v>
      </c>
      <c r="G119" t="s">
        <v>32</v>
      </c>
      <c r="H119" t="s">
        <v>37</v>
      </c>
      <c r="I119">
        <v>1</v>
      </c>
      <c r="J119">
        <v>0.1</v>
      </c>
      <c r="K119">
        <v>283.82</v>
      </c>
      <c r="L119">
        <v>19.5</v>
      </c>
    </row>
    <row r="120" spans="1:12" x14ac:dyDescent="0.3">
      <c r="A120" t="s">
        <v>287</v>
      </c>
      <c r="B120" t="s">
        <v>288</v>
      </c>
      <c r="C120" t="s">
        <v>29</v>
      </c>
      <c r="D120" t="s">
        <v>35</v>
      </c>
      <c r="E120" t="s">
        <v>31</v>
      </c>
      <c r="F120" t="s">
        <v>63</v>
      </c>
      <c r="G120" t="s">
        <v>78</v>
      </c>
      <c r="H120" t="s">
        <v>115</v>
      </c>
      <c r="I120">
        <v>6</v>
      </c>
      <c r="J120">
        <v>0</v>
      </c>
      <c r="K120">
        <v>164.04</v>
      </c>
      <c r="L120">
        <v>37.81</v>
      </c>
    </row>
    <row r="121" spans="1:12" x14ac:dyDescent="0.3">
      <c r="A121" t="s">
        <v>289</v>
      </c>
      <c r="B121" t="s">
        <v>290</v>
      </c>
      <c r="C121" t="s">
        <v>22</v>
      </c>
      <c r="D121" t="s">
        <v>58</v>
      </c>
      <c r="E121" t="s">
        <v>36</v>
      </c>
      <c r="F121" t="s">
        <v>17</v>
      </c>
      <c r="G121" t="s">
        <v>44</v>
      </c>
      <c r="H121" t="s">
        <v>45</v>
      </c>
      <c r="I121">
        <v>6</v>
      </c>
      <c r="J121">
        <v>0.1</v>
      </c>
      <c r="K121">
        <v>2069.17</v>
      </c>
      <c r="L121">
        <v>343.11</v>
      </c>
    </row>
    <row r="122" spans="1:12" x14ac:dyDescent="0.3">
      <c r="A122" t="s">
        <v>291</v>
      </c>
      <c r="B122" t="s">
        <v>290</v>
      </c>
      <c r="C122" t="s">
        <v>29</v>
      </c>
      <c r="D122" t="s">
        <v>93</v>
      </c>
      <c r="E122" t="s">
        <v>31</v>
      </c>
      <c r="F122" t="s">
        <v>24</v>
      </c>
      <c r="G122" t="s">
        <v>32</v>
      </c>
      <c r="H122" t="s">
        <v>37</v>
      </c>
      <c r="I122">
        <v>8</v>
      </c>
      <c r="J122">
        <v>0</v>
      </c>
      <c r="K122">
        <v>7060.64</v>
      </c>
      <c r="L122">
        <v>724.66</v>
      </c>
    </row>
    <row r="123" spans="1:12" x14ac:dyDescent="0.3">
      <c r="A123" t="s">
        <v>292</v>
      </c>
      <c r="B123" t="s">
        <v>293</v>
      </c>
      <c r="C123" t="s">
        <v>14</v>
      </c>
      <c r="D123" t="s">
        <v>23</v>
      </c>
      <c r="E123" t="s">
        <v>31</v>
      </c>
      <c r="F123" t="s">
        <v>24</v>
      </c>
      <c r="G123" t="s">
        <v>54</v>
      </c>
      <c r="H123" t="s">
        <v>55</v>
      </c>
      <c r="I123">
        <v>7</v>
      </c>
      <c r="J123">
        <v>0.05</v>
      </c>
      <c r="K123">
        <v>2965.23</v>
      </c>
      <c r="L123">
        <v>515.12</v>
      </c>
    </row>
    <row r="124" spans="1:12" x14ac:dyDescent="0.3">
      <c r="A124" t="s">
        <v>294</v>
      </c>
      <c r="B124" t="s">
        <v>295</v>
      </c>
      <c r="C124" t="s">
        <v>29</v>
      </c>
      <c r="D124" t="s">
        <v>35</v>
      </c>
      <c r="E124" t="s">
        <v>16</v>
      </c>
      <c r="F124" t="s">
        <v>24</v>
      </c>
      <c r="G124" t="s">
        <v>25</v>
      </c>
      <c r="H124" t="s">
        <v>26</v>
      </c>
      <c r="I124">
        <v>7</v>
      </c>
      <c r="J124">
        <v>0.15</v>
      </c>
      <c r="K124">
        <v>2530.65</v>
      </c>
      <c r="L124">
        <v>495.68</v>
      </c>
    </row>
    <row r="125" spans="1:12" x14ac:dyDescent="0.3">
      <c r="A125" t="s">
        <v>296</v>
      </c>
      <c r="B125" t="s">
        <v>297</v>
      </c>
      <c r="C125" t="s">
        <v>22</v>
      </c>
      <c r="D125" t="s">
        <v>15</v>
      </c>
      <c r="E125" t="s">
        <v>31</v>
      </c>
      <c r="F125" t="s">
        <v>24</v>
      </c>
      <c r="G125" t="s">
        <v>25</v>
      </c>
      <c r="H125" t="s">
        <v>48</v>
      </c>
      <c r="I125">
        <v>3</v>
      </c>
      <c r="J125">
        <v>0.1</v>
      </c>
      <c r="K125">
        <v>1268.8699999999999</v>
      </c>
      <c r="L125">
        <v>153.81</v>
      </c>
    </row>
    <row r="126" spans="1:12" x14ac:dyDescent="0.3">
      <c r="A126" t="s">
        <v>298</v>
      </c>
      <c r="B126" t="s">
        <v>297</v>
      </c>
      <c r="C126" t="s">
        <v>29</v>
      </c>
      <c r="D126" t="s">
        <v>30</v>
      </c>
      <c r="E126" t="s">
        <v>31</v>
      </c>
      <c r="F126" t="s">
        <v>63</v>
      </c>
      <c r="G126" t="s">
        <v>97</v>
      </c>
      <c r="H126" t="s">
        <v>216</v>
      </c>
      <c r="I126">
        <v>2</v>
      </c>
      <c r="J126">
        <v>0</v>
      </c>
      <c r="K126">
        <v>152.78</v>
      </c>
      <c r="L126">
        <v>16.170000000000002</v>
      </c>
    </row>
    <row r="127" spans="1:12" x14ac:dyDescent="0.3">
      <c r="A127" t="s">
        <v>299</v>
      </c>
      <c r="B127" t="s">
        <v>300</v>
      </c>
      <c r="C127" t="s">
        <v>14</v>
      </c>
      <c r="D127" t="s">
        <v>50</v>
      </c>
      <c r="E127" t="s">
        <v>16</v>
      </c>
      <c r="F127" t="s">
        <v>24</v>
      </c>
      <c r="G127" t="s">
        <v>54</v>
      </c>
      <c r="H127" t="s">
        <v>112</v>
      </c>
      <c r="I127">
        <v>2</v>
      </c>
      <c r="J127">
        <v>0.15</v>
      </c>
      <c r="K127">
        <v>1029.93</v>
      </c>
      <c r="L127">
        <v>202.66</v>
      </c>
    </row>
    <row r="128" spans="1:12" x14ac:dyDescent="0.3">
      <c r="A128" t="s">
        <v>301</v>
      </c>
      <c r="B128" t="s">
        <v>300</v>
      </c>
      <c r="C128" t="s">
        <v>14</v>
      </c>
      <c r="D128" t="s">
        <v>23</v>
      </c>
      <c r="E128" t="s">
        <v>31</v>
      </c>
      <c r="F128" t="s">
        <v>63</v>
      </c>
      <c r="G128" t="s">
        <v>78</v>
      </c>
      <c r="H128" t="s">
        <v>124</v>
      </c>
      <c r="I128">
        <v>3</v>
      </c>
      <c r="J128">
        <v>0.15</v>
      </c>
      <c r="K128">
        <v>102.59</v>
      </c>
      <c r="L128">
        <v>7.02</v>
      </c>
    </row>
    <row r="129" spans="1:12" x14ac:dyDescent="0.3">
      <c r="A129" t="s">
        <v>302</v>
      </c>
      <c r="B129" t="s">
        <v>303</v>
      </c>
      <c r="C129" t="s">
        <v>29</v>
      </c>
      <c r="D129" t="s">
        <v>15</v>
      </c>
      <c r="E129" t="s">
        <v>31</v>
      </c>
      <c r="F129" t="s">
        <v>24</v>
      </c>
      <c r="G129" t="s">
        <v>32</v>
      </c>
      <c r="H129" t="s">
        <v>37</v>
      </c>
      <c r="I129">
        <v>6</v>
      </c>
      <c r="J129">
        <v>0.2</v>
      </c>
      <c r="K129">
        <v>986.02</v>
      </c>
      <c r="L129">
        <v>53.19</v>
      </c>
    </row>
    <row r="130" spans="1:12" x14ac:dyDescent="0.3">
      <c r="A130" t="s">
        <v>304</v>
      </c>
      <c r="B130" t="s">
        <v>303</v>
      </c>
      <c r="C130" t="s">
        <v>47</v>
      </c>
      <c r="D130" t="s">
        <v>15</v>
      </c>
      <c r="E130" t="s">
        <v>16</v>
      </c>
      <c r="F130" t="s">
        <v>24</v>
      </c>
      <c r="G130" t="s">
        <v>54</v>
      </c>
      <c r="H130" t="s">
        <v>55</v>
      </c>
      <c r="I130">
        <v>2</v>
      </c>
      <c r="J130">
        <v>0</v>
      </c>
      <c r="K130">
        <v>1333.72</v>
      </c>
      <c r="L130">
        <v>105.33</v>
      </c>
    </row>
    <row r="131" spans="1:12" x14ac:dyDescent="0.3">
      <c r="A131" t="s">
        <v>305</v>
      </c>
      <c r="B131" t="s">
        <v>306</v>
      </c>
      <c r="C131" t="s">
        <v>47</v>
      </c>
      <c r="D131" t="s">
        <v>30</v>
      </c>
      <c r="E131" t="s">
        <v>16</v>
      </c>
      <c r="F131" t="s">
        <v>63</v>
      </c>
      <c r="G131" t="s">
        <v>138</v>
      </c>
      <c r="H131" t="s">
        <v>208</v>
      </c>
      <c r="I131">
        <v>3</v>
      </c>
      <c r="J131">
        <v>0</v>
      </c>
      <c r="K131">
        <v>161.01</v>
      </c>
      <c r="L131">
        <v>13.6</v>
      </c>
    </row>
    <row r="132" spans="1:12" x14ac:dyDescent="0.3">
      <c r="A132" t="s">
        <v>307</v>
      </c>
      <c r="B132" t="s">
        <v>308</v>
      </c>
      <c r="C132" t="s">
        <v>47</v>
      </c>
      <c r="D132" t="s">
        <v>43</v>
      </c>
      <c r="E132" t="s">
        <v>16</v>
      </c>
      <c r="F132" t="s">
        <v>63</v>
      </c>
      <c r="G132" t="s">
        <v>78</v>
      </c>
      <c r="H132" t="s">
        <v>124</v>
      </c>
      <c r="I132">
        <v>7</v>
      </c>
      <c r="J132">
        <v>0.15</v>
      </c>
      <c r="K132">
        <v>397.88</v>
      </c>
      <c r="L132">
        <v>66.319999999999993</v>
      </c>
    </row>
    <row r="133" spans="1:12" x14ac:dyDescent="0.3">
      <c r="A133" t="s">
        <v>309</v>
      </c>
      <c r="B133" t="s">
        <v>310</v>
      </c>
      <c r="C133" t="s">
        <v>22</v>
      </c>
      <c r="D133" t="s">
        <v>58</v>
      </c>
      <c r="E133" t="s">
        <v>36</v>
      </c>
      <c r="F133" t="s">
        <v>24</v>
      </c>
      <c r="G133" t="s">
        <v>32</v>
      </c>
      <c r="H133" t="s">
        <v>37</v>
      </c>
      <c r="I133">
        <v>4</v>
      </c>
      <c r="J133">
        <v>0.2</v>
      </c>
      <c r="K133">
        <v>2160.67</v>
      </c>
      <c r="L133">
        <v>236.3</v>
      </c>
    </row>
    <row r="134" spans="1:12" x14ac:dyDescent="0.3">
      <c r="A134" t="s">
        <v>311</v>
      </c>
      <c r="B134" t="s">
        <v>312</v>
      </c>
      <c r="C134" t="s">
        <v>22</v>
      </c>
      <c r="D134" t="s">
        <v>15</v>
      </c>
      <c r="E134" t="s">
        <v>16</v>
      </c>
      <c r="F134" t="s">
        <v>63</v>
      </c>
      <c r="G134" t="s">
        <v>64</v>
      </c>
      <c r="H134" t="s">
        <v>65</v>
      </c>
      <c r="I134">
        <v>2</v>
      </c>
      <c r="J134">
        <v>0</v>
      </c>
      <c r="K134">
        <v>13.74</v>
      </c>
      <c r="L134">
        <v>2.5099999999999998</v>
      </c>
    </row>
    <row r="135" spans="1:12" x14ac:dyDescent="0.3">
      <c r="A135" t="s">
        <v>313</v>
      </c>
      <c r="B135" t="s">
        <v>314</v>
      </c>
      <c r="C135" t="s">
        <v>22</v>
      </c>
      <c r="D135" t="s">
        <v>35</v>
      </c>
      <c r="E135" t="s">
        <v>16</v>
      </c>
      <c r="F135" t="s">
        <v>24</v>
      </c>
      <c r="G135" t="s">
        <v>25</v>
      </c>
      <c r="H135" t="s">
        <v>48</v>
      </c>
      <c r="I135">
        <v>4</v>
      </c>
      <c r="J135">
        <v>0</v>
      </c>
      <c r="K135">
        <v>815.96</v>
      </c>
      <c r="L135">
        <v>168.73</v>
      </c>
    </row>
    <row r="136" spans="1:12" x14ac:dyDescent="0.3">
      <c r="A136" t="s">
        <v>315</v>
      </c>
      <c r="B136" t="s">
        <v>316</v>
      </c>
      <c r="C136" t="s">
        <v>29</v>
      </c>
      <c r="D136" t="s">
        <v>50</v>
      </c>
      <c r="E136" t="s">
        <v>16</v>
      </c>
      <c r="F136" t="s">
        <v>24</v>
      </c>
      <c r="G136" t="s">
        <v>25</v>
      </c>
      <c r="H136" t="s">
        <v>48</v>
      </c>
      <c r="I136">
        <v>8</v>
      </c>
      <c r="J136">
        <v>0.2</v>
      </c>
      <c r="K136">
        <v>1561.66</v>
      </c>
      <c r="L136">
        <v>88.64</v>
      </c>
    </row>
    <row r="137" spans="1:12" x14ac:dyDescent="0.3">
      <c r="A137" t="s">
        <v>317</v>
      </c>
      <c r="B137" t="s">
        <v>316</v>
      </c>
      <c r="C137" t="s">
        <v>47</v>
      </c>
      <c r="D137" t="s">
        <v>30</v>
      </c>
      <c r="E137" t="s">
        <v>16</v>
      </c>
      <c r="F137" t="s">
        <v>17</v>
      </c>
      <c r="G137" t="s">
        <v>44</v>
      </c>
      <c r="H137" t="s">
        <v>45</v>
      </c>
      <c r="I137">
        <v>4</v>
      </c>
      <c r="J137">
        <v>0</v>
      </c>
      <c r="K137">
        <v>1096.8399999999999</v>
      </c>
      <c r="L137">
        <v>159.52000000000001</v>
      </c>
    </row>
    <row r="138" spans="1:12" x14ac:dyDescent="0.3">
      <c r="A138" t="s">
        <v>318</v>
      </c>
      <c r="B138" t="s">
        <v>319</v>
      </c>
      <c r="C138" t="s">
        <v>47</v>
      </c>
      <c r="D138" t="s">
        <v>43</v>
      </c>
      <c r="E138" t="s">
        <v>16</v>
      </c>
      <c r="F138" t="s">
        <v>63</v>
      </c>
      <c r="G138" t="s">
        <v>97</v>
      </c>
      <c r="H138" t="s">
        <v>118</v>
      </c>
      <c r="I138">
        <v>2</v>
      </c>
      <c r="J138">
        <v>0</v>
      </c>
      <c r="K138">
        <v>115.4</v>
      </c>
      <c r="L138">
        <v>25.3</v>
      </c>
    </row>
    <row r="139" spans="1:12" x14ac:dyDescent="0.3">
      <c r="A139" t="s">
        <v>320</v>
      </c>
      <c r="B139" t="s">
        <v>321</v>
      </c>
      <c r="C139" t="s">
        <v>29</v>
      </c>
      <c r="D139" t="s">
        <v>23</v>
      </c>
      <c r="E139" t="s">
        <v>16</v>
      </c>
      <c r="F139" t="s">
        <v>63</v>
      </c>
      <c r="G139" t="s">
        <v>97</v>
      </c>
      <c r="H139" t="s">
        <v>118</v>
      </c>
      <c r="I139">
        <v>3</v>
      </c>
      <c r="J139">
        <v>0.15</v>
      </c>
      <c r="K139">
        <v>113.86</v>
      </c>
      <c r="L139">
        <v>8</v>
      </c>
    </row>
    <row r="140" spans="1:12" x14ac:dyDescent="0.3">
      <c r="A140" t="s">
        <v>322</v>
      </c>
      <c r="B140" t="s">
        <v>323</v>
      </c>
      <c r="C140" t="s">
        <v>47</v>
      </c>
      <c r="D140" t="s">
        <v>30</v>
      </c>
      <c r="E140" t="s">
        <v>36</v>
      </c>
      <c r="F140" t="s">
        <v>24</v>
      </c>
      <c r="G140" t="s">
        <v>25</v>
      </c>
      <c r="H140" t="s">
        <v>26</v>
      </c>
      <c r="I140">
        <v>1</v>
      </c>
      <c r="J140">
        <v>0.2</v>
      </c>
      <c r="K140">
        <v>196.58</v>
      </c>
      <c r="L140">
        <v>0.27</v>
      </c>
    </row>
    <row r="141" spans="1:12" x14ac:dyDescent="0.3">
      <c r="A141" t="s">
        <v>324</v>
      </c>
      <c r="B141" t="s">
        <v>325</v>
      </c>
      <c r="C141" t="s">
        <v>22</v>
      </c>
      <c r="D141" t="s">
        <v>30</v>
      </c>
      <c r="E141" t="s">
        <v>31</v>
      </c>
      <c r="F141" t="s">
        <v>63</v>
      </c>
      <c r="G141" t="s">
        <v>78</v>
      </c>
      <c r="H141" t="s">
        <v>124</v>
      </c>
      <c r="I141">
        <v>2</v>
      </c>
      <c r="J141">
        <v>0.2</v>
      </c>
      <c r="K141">
        <v>77.81</v>
      </c>
      <c r="L141">
        <v>5.81</v>
      </c>
    </row>
    <row r="142" spans="1:12" x14ac:dyDescent="0.3">
      <c r="A142" t="s">
        <v>326</v>
      </c>
      <c r="B142" t="s">
        <v>327</v>
      </c>
      <c r="C142" t="s">
        <v>47</v>
      </c>
      <c r="D142" t="s">
        <v>23</v>
      </c>
      <c r="E142" t="s">
        <v>16</v>
      </c>
      <c r="F142" t="s">
        <v>63</v>
      </c>
      <c r="G142" t="s">
        <v>64</v>
      </c>
      <c r="H142" t="s">
        <v>87</v>
      </c>
      <c r="I142">
        <v>4</v>
      </c>
      <c r="J142">
        <v>0.1</v>
      </c>
      <c r="K142">
        <v>81.11</v>
      </c>
      <c r="L142">
        <v>8.7799999999999994</v>
      </c>
    </row>
    <row r="143" spans="1:12" x14ac:dyDescent="0.3">
      <c r="A143" t="s">
        <v>328</v>
      </c>
      <c r="B143" t="s">
        <v>329</v>
      </c>
      <c r="C143" t="s">
        <v>14</v>
      </c>
      <c r="D143" t="s">
        <v>35</v>
      </c>
      <c r="E143" t="s">
        <v>31</v>
      </c>
      <c r="F143" t="s">
        <v>24</v>
      </c>
      <c r="G143" t="s">
        <v>32</v>
      </c>
      <c r="H143" t="s">
        <v>37</v>
      </c>
      <c r="I143">
        <v>8</v>
      </c>
      <c r="J143">
        <v>0.15</v>
      </c>
      <c r="K143">
        <v>3379.8</v>
      </c>
      <c r="L143">
        <v>279.87</v>
      </c>
    </row>
    <row r="144" spans="1:12" x14ac:dyDescent="0.3">
      <c r="A144" t="s">
        <v>330</v>
      </c>
      <c r="B144" t="s">
        <v>329</v>
      </c>
      <c r="C144" t="s">
        <v>22</v>
      </c>
      <c r="D144" t="s">
        <v>23</v>
      </c>
      <c r="E144" t="s">
        <v>16</v>
      </c>
      <c r="F144" t="s">
        <v>24</v>
      </c>
      <c r="G144" t="s">
        <v>32</v>
      </c>
      <c r="H144" t="s">
        <v>33</v>
      </c>
      <c r="I144">
        <v>5</v>
      </c>
      <c r="J144">
        <v>0</v>
      </c>
      <c r="K144">
        <v>3163.2</v>
      </c>
      <c r="L144">
        <v>166.32</v>
      </c>
    </row>
    <row r="145" spans="1:12" x14ac:dyDescent="0.3">
      <c r="A145" t="s">
        <v>331</v>
      </c>
      <c r="B145" t="s">
        <v>332</v>
      </c>
      <c r="C145" t="s">
        <v>22</v>
      </c>
      <c r="D145" t="s">
        <v>58</v>
      </c>
      <c r="E145" t="s">
        <v>36</v>
      </c>
      <c r="F145" t="s">
        <v>24</v>
      </c>
      <c r="G145" t="s">
        <v>32</v>
      </c>
      <c r="H145" t="s">
        <v>33</v>
      </c>
      <c r="I145">
        <v>6</v>
      </c>
      <c r="J145">
        <v>0</v>
      </c>
      <c r="K145">
        <v>2838.6</v>
      </c>
      <c r="L145">
        <v>528.76</v>
      </c>
    </row>
    <row r="146" spans="1:12" x14ac:dyDescent="0.3">
      <c r="A146" t="s">
        <v>333</v>
      </c>
      <c r="B146" t="s">
        <v>332</v>
      </c>
      <c r="C146" t="s">
        <v>47</v>
      </c>
      <c r="D146" t="s">
        <v>58</v>
      </c>
      <c r="E146" t="s">
        <v>36</v>
      </c>
      <c r="F146" t="s">
        <v>63</v>
      </c>
      <c r="G146" t="s">
        <v>138</v>
      </c>
      <c r="H146" t="s">
        <v>179</v>
      </c>
      <c r="I146">
        <v>8</v>
      </c>
      <c r="J146">
        <v>0</v>
      </c>
      <c r="K146">
        <v>303.52</v>
      </c>
      <c r="L146">
        <v>49.35</v>
      </c>
    </row>
    <row r="147" spans="1:12" x14ac:dyDescent="0.3">
      <c r="A147" t="s">
        <v>334</v>
      </c>
      <c r="B147" t="s">
        <v>335</v>
      </c>
      <c r="C147" t="s">
        <v>29</v>
      </c>
      <c r="D147" t="s">
        <v>93</v>
      </c>
      <c r="E147" t="s">
        <v>16</v>
      </c>
      <c r="F147" t="s">
        <v>63</v>
      </c>
      <c r="G147" t="s">
        <v>138</v>
      </c>
      <c r="H147" t="s">
        <v>179</v>
      </c>
      <c r="I147">
        <v>1</v>
      </c>
      <c r="J147">
        <v>0</v>
      </c>
      <c r="K147">
        <v>20.41</v>
      </c>
      <c r="L147">
        <v>2.8</v>
      </c>
    </row>
    <row r="148" spans="1:12" x14ac:dyDescent="0.3">
      <c r="A148" t="s">
        <v>336</v>
      </c>
      <c r="B148" t="s">
        <v>337</v>
      </c>
      <c r="C148" t="s">
        <v>22</v>
      </c>
      <c r="D148" t="s">
        <v>15</v>
      </c>
      <c r="E148" t="s">
        <v>36</v>
      </c>
      <c r="F148" t="s">
        <v>63</v>
      </c>
      <c r="G148" t="s">
        <v>78</v>
      </c>
      <c r="H148" t="s">
        <v>124</v>
      </c>
      <c r="I148">
        <v>6</v>
      </c>
      <c r="J148">
        <v>0.15</v>
      </c>
      <c r="K148">
        <v>51.92</v>
      </c>
      <c r="L148">
        <v>8.6999999999999993</v>
      </c>
    </row>
    <row r="149" spans="1:12" x14ac:dyDescent="0.3">
      <c r="A149" t="s">
        <v>338</v>
      </c>
      <c r="B149" t="s">
        <v>339</v>
      </c>
      <c r="C149" t="s">
        <v>22</v>
      </c>
      <c r="D149" t="s">
        <v>58</v>
      </c>
      <c r="E149" t="s">
        <v>36</v>
      </c>
      <c r="F149" t="s">
        <v>63</v>
      </c>
      <c r="G149" t="s">
        <v>64</v>
      </c>
      <c r="H149" t="s">
        <v>65</v>
      </c>
      <c r="I149">
        <v>5</v>
      </c>
      <c r="J149">
        <v>0.1</v>
      </c>
      <c r="K149">
        <v>127.08</v>
      </c>
      <c r="L149">
        <v>18.79</v>
      </c>
    </row>
    <row r="150" spans="1:12" x14ac:dyDescent="0.3">
      <c r="A150" t="s">
        <v>340</v>
      </c>
      <c r="B150" t="s">
        <v>341</v>
      </c>
      <c r="C150" t="s">
        <v>29</v>
      </c>
      <c r="D150" t="s">
        <v>93</v>
      </c>
      <c r="E150" t="s">
        <v>31</v>
      </c>
      <c r="F150" t="s">
        <v>17</v>
      </c>
      <c r="G150" t="s">
        <v>67</v>
      </c>
      <c r="H150" t="s">
        <v>205</v>
      </c>
      <c r="I150">
        <v>1</v>
      </c>
      <c r="J150">
        <v>0</v>
      </c>
      <c r="K150">
        <v>410.57</v>
      </c>
      <c r="L150">
        <v>43.39</v>
      </c>
    </row>
    <row r="151" spans="1:12" x14ac:dyDescent="0.3">
      <c r="A151" t="s">
        <v>342</v>
      </c>
      <c r="B151" t="s">
        <v>343</v>
      </c>
      <c r="C151" t="s">
        <v>47</v>
      </c>
      <c r="D151" t="s">
        <v>43</v>
      </c>
      <c r="E151" t="s">
        <v>31</v>
      </c>
      <c r="F151" t="s">
        <v>24</v>
      </c>
      <c r="G151" t="s">
        <v>54</v>
      </c>
      <c r="H151" t="s">
        <v>55</v>
      </c>
      <c r="I151">
        <v>6</v>
      </c>
      <c r="J151">
        <v>0</v>
      </c>
      <c r="K151">
        <v>4374.0600000000004</v>
      </c>
      <c r="L151">
        <v>554.37</v>
      </c>
    </row>
  </sheetData>
  <autoFilter ref="A1:L151" xr:uid="{83C16056-7141-4231-9CE4-81D36EB11BA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BFE6-4F7F-405B-A935-88720D90D3A0}">
  <dimension ref="B2:I26"/>
  <sheetViews>
    <sheetView tabSelected="1" workbookViewId="0">
      <selection activeCell="E22" sqref="E22"/>
    </sheetView>
  </sheetViews>
  <sheetFormatPr defaultRowHeight="14.4" x14ac:dyDescent="0.3"/>
  <cols>
    <col min="2" max="2" width="15.21875" bestFit="1" customWidth="1"/>
    <col min="3" max="3" width="14" bestFit="1" customWidth="1"/>
    <col min="4" max="4" width="14.109375" bestFit="1" customWidth="1"/>
    <col min="5" max="5" width="16.88671875" bestFit="1" customWidth="1"/>
  </cols>
  <sheetData>
    <row r="2" spans="2:6" ht="23.4" x14ac:dyDescent="0.45">
      <c r="B2" s="3" t="s">
        <v>347</v>
      </c>
      <c r="C2" s="4"/>
    </row>
    <row r="4" spans="2:6" ht="15.6" x14ac:dyDescent="0.3">
      <c r="C4" s="8" t="s">
        <v>344</v>
      </c>
      <c r="D4" s="8" t="s">
        <v>345</v>
      </c>
      <c r="E4" s="8" t="s">
        <v>348</v>
      </c>
      <c r="F4" s="2"/>
    </row>
    <row r="5" spans="2:6" ht="15.6" x14ac:dyDescent="0.3">
      <c r="C5" s="5" t="s">
        <v>17</v>
      </c>
      <c r="D5" s="6">
        <f>SUMIF(Raw_Data!F2:F151,Percentage_Analysis!C5,Raw_Data!K2:K151)</f>
        <v>46147.689999999988</v>
      </c>
      <c r="E5" s="7">
        <f>D5/D8</f>
        <v>0.2938432398058512</v>
      </c>
      <c r="F5" s="2"/>
    </row>
    <row r="6" spans="2:6" ht="15.6" x14ac:dyDescent="0.3">
      <c r="C6" s="5" t="s">
        <v>63</v>
      </c>
      <c r="D6" s="6">
        <f>SUMIF(Raw_Data!F3:F152,Percentage_Analysis!C6,Raw_Data!K3:K152)</f>
        <v>8285.2099999999991</v>
      </c>
      <c r="E6" s="7">
        <f>D6/D8</f>
        <v>5.2755683954534602E-2</v>
      </c>
      <c r="F6" s="2"/>
    </row>
    <row r="7" spans="2:6" ht="15.6" x14ac:dyDescent="0.3">
      <c r="C7" s="5" t="s">
        <v>24</v>
      </c>
      <c r="D7" s="6">
        <f>SUMIF(Raw_Data!F4:F153,Percentage_Analysis!C7,Raw_Data!K4:K153)</f>
        <v>102615.77</v>
      </c>
      <c r="E7" s="7">
        <f>D7/D8</f>
        <v>0.65340107623961419</v>
      </c>
      <c r="F7" s="2"/>
    </row>
    <row r="8" spans="2:6" ht="15.6" x14ac:dyDescent="0.3">
      <c r="C8" s="9" t="s">
        <v>346</v>
      </c>
      <c r="D8" s="10">
        <f>SUM(D5:D7)</f>
        <v>157048.66999999998</v>
      </c>
      <c r="E8" s="11">
        <f>SUM(E5:E7)</f>
        <v>1</v>
      </c>
      <c r="F8" s="2"/>
    </row>
    <row r="14" spans="2:6" ht="18" x14ac:dyDescent="0.3">
      <c r="B14" s="12" t="s">
        <v>349</v>
      </c>
    </row>
    <row r="15" spans="2:6" ht="18" x14ac:dyDescent="0.3">
      <c r="B15" s="12"/>
    </row>
    <row r="16" spans="2:6" x14ac:dyDescent="0.3">
      <c r="B16" s="14" t="s">
        <v>358</v>
      </c>
      <c r="C16" s="15"/>
      <c r="D16" s="15"/>
      <c r="E16" s="15"/>
    </row>
    <row r="17" spans="2:9" x14ac:dyDescent="0.3">
      <c r="B17" s="15" t="s">
        <v>359</v>
      </c>
      <c r="C17" s="15"/>
      <c r="D17" s="15"/>
      <c r="E17" s="15"/>
    </row>
    <row r="18" spans="2:9" x14ac:dyDescent="0.3">
      <c r="B18" s="15" t="s">
        <v>360</v>
      </c>
      <c r="C18" s="15"/>
      <c r="D18" s="15"/>
      <c r="E18" s="15"/>
    </row>
    <row r="19" spans="2:9" x14ac:dyDescent="0.3">
      <c r="B19" s="13" t="s">
        <v>350</v>
      </c>
      <c r="C19" s="13"/>
      <c r="D19" s="13"/>
      <c r="E19" s="13"/>
      <c r="F19" s="13"/>
      <c r="G19" s="13"/>
      <c r="H19" s="13"/>
      <c r="I19" s="13"/>
    </row>
    <row r="20" spans="2:9" x14ac:dyDescent="0.3">
      <c r="B20" s="13" t="s">
        <v>351</v>
      </c>
      <c r="C20" s="13"/>
      <c r="D20" s="13"/>
      <c r="E20" s="13"/>
      <c r="F20" s="13"/>
      <c r="G20" s="13"/>
      <c r="H20" s="13"/>
      <c r="I20" s="13"/>
    </row>
    <row r="21" spans="2:9" x14ac:dyDescent="0.3">
      <c r="B21" s="13" t="s">
        <v>352</v>
      </c>
      <c r="C21" s="13"/>
      <c r="D21" s="13"/>
      <c r="E21" s="13"/>
      <c r="F21" s="13"/>
      <c r="G21" s="13"/>
      <c r="H21" s="13"/>
      <c r="I21" s="13"/>
    </row>
    <row r="22" spans="2:9" x14ac:dyDescent="0.3">
      <c r="B22" s="13" t="s">
        <v>353</v>
      </c>
      <c r="C22" s="13"/>
      <c r="D22" s="13"/>
      <c r="E22" s="13"/>
      <c r="F22" s="13"/>
      <c r="G22" s="13"/>
      <c r="H22" s="13"/>
      <c r="I22" s="13"/>
    </row>
    <row r="23" spans="2:9" x14ac:dyDescent="0.3">
      <c r="B23" s="13" t="s">
        <v>354</v>
      </c>
      <c r="C23" s="13"/>
      <c r="D23" s="13"/>
      <c r="E23" s="13"/>
      <c r="F23" s="13"/>
      <c r="G23" s="13"/>
      <c r="H23" s="13"/>
      <c r="I23" s="13"/>
    </row>
    <row r="24" spans="2:9" x14ac:dyDescent="0.3">
      <c r="B24" s="13" t="s">
        <v>355</v>
      </c>
      <c r="C24" s="13"/>
      <c r="D24" s="13"/>
      <c r="E24" s="13"/>
      <c r="F24" s="13"/>
      <c r="G24" s="13"/>
      <c r="H24" s="13"/>
      <c r="I24" s="13"/>
    </row>
    <row r="25" spans="2:9" x14ac:dyDescent="0.3">
      <c r="B25" s="13" t="s">
        <v>356</v>
      </c>
      <c r="C25" s="13"/>
      <c r="D25" s="13"/>
      <c r="E25" s="13"/>
      <c r="F25" s="13"/>
      <c r="G25" s="13"/>
      <c r="H25" s="13"/>
      <c r="I25" s="13"/>
    </row>
    <row r="26" spans="2:9" x14ac:dyDescent="0.3">
      <c r="B26" s="13" t="s">
        <v>357</v>
      </c>
      <c r="C26" s="13"/>
      <c r="D26" s="13"/>
      <c r="E26" s="13"/>
      <c r="F26" s="13"/>
      <c r="G26" s="13"/>
      <c r="H26" s="13"/>
      <c r="I26" s="1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Percentage_Analysis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Poojitha Maddula</dc:creator>
  <cp:lastModifiedBy>Poojitha Maddula</cp:lastModifiedBy>
  <dcterms:created xsi:type="dcterms:W3CDTF">2026-10-17T04:58:09Z</dcterms:created>
  <dcterms:modified xsi:type="dcterms:W3CDTF">2026-10-17T05:36:09Z</dcterms:modified>
</cp:coreProperties>
</file>