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276" documentId="8_{C1494F78-F917-41B7-A617-603A245E60BA}" xr6:coauthVersionLast="47" xr6:coauthVersionMax="47" xr10:uidLastSave="{2B3C14ED-9425-4D74-843F-211B550A09D6}"/>
  <bookViews>
    <workbookView xWindow="-108" yWindow="-108" windowWidth="23256" windowHeight="12456" activeTab="3" xr2:uid="{A499CCD5-BB52-4DB2-8C3C-1A305FA8A906}"/>
  </bookViews>
  <sheets>
    <sheet name="Raw_Data" sheetId="1" r:id="rId1"/>
    <sheet name="Inventory_Tracker" sheetId="4" r:id="rId2"/>
    <sheet name="Low_Stock_report" sheetId="5" r:id="rId3"/>
    <sheet name="Stock Summary" sheetId="7" r:id="rId4"/>
  </sheets>
  <definedNames>
    <definedName name="_xlnm._FilterDatabase" localSheetId="1" hidden="1">Inventory_Tracker!$A$1:$J$101</definedName>
    <definedName name="_xlnm._FilterDatabase" localSheetId="2" hidden="1">Low_Stock_report!$J$1:$J$101</definedName>
    <definedName name="_xlnm._FilterDatabase" localSheetId="0" hidden="1">Raw_Data!$A$1:$H$101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</calcChain>
</file>

<file path=xl/sharedStrings.xml><?xml version="1.0" encoding="utf-8"?>
<sst xmlns="http://schemas.openxmlformats.org/spreadsheetml/2006/main" count="1562" uniqueCount="248">
  <si>
    <t>Product ID</t>
  </si>
  <si>
    <t>Product Name</t>
  </si>
  <si>
    <t>Category</t>
  </si>
  <si>
    <t>Supplier</t>
  </si>
  <si>
    <t>Warehouse</t>
  </si>
  <si>
    <t>Available Stock</t>
  </si>
  <si>
    <t>Reorder Level</t>
  </si>
  <si>
    <t>Unit Price (₹)</t>
  </si>
  <si>
    <t>INV-001</t>
  </si>
  <si>
    <t>Laptop</t>
  </si>
  <si>
    <t>Electronics</t>
  </si>
  <si>
    <t>Jupiter Industrial</t>
  </si>
  <si>
    <t>Vijayawada Central</t>
  </si>
  <si>
    <t>INV-002</t>
  </si>
  <si>
    <t>Wireless Mouse</t>
  </si>
  <si>
    <t>Accessories</t>
  </si>
  <si>
    <t>Evergreen Wholesale</t>
  </si>
  <si>
    <t>INV-003</t>
  </si>
  <si>
    <t>Keyboard</t>
  </si>
  <si>
    <t>CoreTech Distributors</t>
  </si>
  <si>
    <t>INV-004</t>
  </si>
  <si>
    <t>Monitor</t>
  </si>
  <si>
    <t>Indus Electronics</t>
  </si>
  <si>
    <t>Hyderabad Hub</t>
  </si>
  <si>
    <t>INV-005</t>
  </si>
  <si>
    <t>Printer</t>
  </si>
  <si>
    <t>Bengaluru Depot</t>
  </si>
  <si>
    <t>INV-006</t>
  </si>
  <si>
    <t>USB Drive 32GB</t>
  </si>
  <si>
    <t>Storage</t>
  </si>
  <si>
    <t>INV-007</t>
  </si>
  <si>
    <t>Headphones</t>
  </si>
  <si>
    <t>Chennai Warehouse</t>
  </si>
  <si>
    <t>INV-008</t>
  </si>
  <si>
    <t>Webcam</t>
  </si>
  <si>
    <t>INV-009</t>
  </si>
  <si>
    <t>Wi-Fi Router</t>
  </si>
  <si>
    <t>Networking</t>
  </si>
  <si>
    <t>INV-010</t>
  </si>
  <si>
    <t>SSD 1TB</t>
  </si>
  <si>
    <t>INV-011</t>
  </si>
  <si>
    <t>External Hard Drive</t>
  </si>
  <si>
    <t>INV-012</t>
  </si>
  <si>
    <t>Laptop Stand</t>
  </si>
  <si>
    <t>INV-013</t>
  </si>
  <si>
    <t>HDMI Cable</t>
  </si>
  <si>
    <t>Cables</t>
  </si>
  <si>
    <t>Brightline Traders</t>
  </si>
  <si>
    <t>INV-014</t>
  </si>
  <si>
    <t>Ethernet Cable</t>
  </si>
  <si>
    <t>INV-015</t>
  </si>
  <si>
    <t>Power Bank</t>
  </si>
  <si>
    <t>INV-016</t>
  </si>
  <si>
    <t>Smartphone</t>
  </si>
  <si>
    <t>INV-017</t>
  </si>
  <si>
    <t>Tablet</t>
  </si>
  <si>
    <t>INV-018</t>
  </si>
  <si>
    <t>Projector</t>
  </si>
  <si>
    <t>Horizon Retail Supply</t>
  </si>
  <si>
    <t>INV-019</t>
  </si>
  <si>
    <t>Ink Cartridge</t>
  </si>
  <si>
    <t>Printer Supplies</t>
  </si>
  <si>
    <t>INV-020</t>
  </si>
  <si>
    <t>Toner Cartridge</t>
  </si>
  <si>
    <t>INV-021</t>
  </si>
  <si>
    <t>Surge Protector</t>
  </si>
  <si>
    <t>Electrical</t>
  </si>
  <si>
    <t>INV-022</t>
  </si>
  <si>
    <t>UPS</t>
  </si>
  <si>
    <t>INV-023</t>
  </si>
  <si>
    <t>Microphone</t>
  </si>
  <si>
    <t>Audio</t>
  </si>
  <si>
    <t>Global Goods</t>
  </si>
  <si>
    <t>INV-024</t>
  </si>
  <si>
    <t>Speakers</t>
  </si>
  <si>
    <t>FutureWare India</t>
  </si>
  <si>
    <t>INV-025</t>
  </si>
  <si>
    <t>Memory Card 128GB</t>
  </si>
  <si>
    <t>INV-026</t>
  </si>
  <si>
    <t>RAM 16GB</t>
  </si>
  <si>
    <t>Computer Components</t>
  </si>
  <si>
    <t>Apex Supplies</t>
  </si>
  <si>
    <t>INV-027</t>
  </si>
  <si>
    <t>Graphics Card</t>
  </si>
  <si>
    <t>INV-028</t>
  </si>
  <si>
    <t>CPU Cooler</t>
  </si>
  <si>
    <t>INV-029</t>
  </si>
  <si>
    <t>Motherboard</t>
  </si>
  <si>
    <t>INV-030</t>
  </si>
  <si>
    <t>Docking Station</t>
  </si>
  <si>
    <t>INV-031</t>
  </si>
  <si>
    <t>Barcode Scanner</t>
  </si>
  <si>
    <t>Office Equipment</t>
  </si>
  <si>
    <t>INV-032</t>
  </si>
  <si>
    <t>Label Printer</t>
  </si>
  <si>
    <t>INV-033</t>
  </si>
  <si>
    <t>Office Chair</t>
  </si>
  <si>
    <t>Furniture</t>
  </si>
  <si>
    <t>INV-034</t>
  </si>
  <si>
    <t>Office Desk</t>
  </si>
  <si>
    <t>INV-035</t>
  </si>
  <si>
    <t>Filing Cabinet</t>
  </si>
  <si>
    <t>INV-036</t>
  </si>
  <si>
    <t>Notebook Pack</t>
  </si>
  <si>
    <t>Stationery</t>
  </si>
  <si>
    <t>INV-037</t>
  </si>
  <si>
    <t>Ballpoint Pens Pack</t>
  </si>
  <si>
    <t>INV-038</t>
  </si>
  <si>
    <t>Stapler</t>
  </si>
  <si>
    <t>INV-039</t>
  </si>
  <si>
    <t>Paper Ream</t>
  </si>
  <si>
    <t>INV-040</t>
  </si>
  <si>
    <t>Whiteboard Marker Set</t>
  </si>
  <si>
    <t>INV-041</t>
  </si>
  <si>
    <t>Cleaning Wipes</t>
  </si>
  <si>
    <t>Cleaning Supplies</t>
  </si>
  <si>
    <t>INV-042</t>
  </si>
  <si>
    <t>Hand Sanitizer</t>
  </si>
  <si>
    <t>Delta Office Mart</t>
  </si>
  <si>
    <t>INV-043</t>
  </si>
  <si>
    <t>First Aid Kit</t>
  </si>
  <si>
    <t>Safety</t>
  </si>
  <si>
    <t>INV-044</t>
  </si>
  <si>
    <t>Safety Gloves Pack</t>
  </si>
  <si>
    <t>INV-045</t>
  </si>
  <si>
    <t>LED Bulb</t>
  </si>
  <si>
    <t>INV-046</t>
  </si>
  <si>
    <t>Extension Board</t>
  </si>
  <si>
    <t>INV-047</t>
  </si>
  <si>
    <t>Ceiling Fan</t>
  </si>
  <si>
    <t>INV-048</t>
  </si>
  <si>
    <t>Air Cooler</t>
  </si>
  <si>
    <t>Appliances</t>
  </si>
  <si>
    <t>INV-049</t>
  </si>
  <si>
    <t>Water Dispenser</t>
  </si>
  <si>
    <t>INV-050</t>
  </si>
  <si>
    <t>Coffee Maker</t>
  </si>
  <si>
    <t>INV-051</t>
  </si>
  <si>
    <t>Laptop - Batch 2</t>
  </si>
  <si>
    <t>INV-052</t>
  </si>
  <si>
    <t>Wireless Mouse - Batch 2</t>
  </si>
  <si>
    <t>INV-053</t>
  </si>
  <si>
    <t>Keyboard - Batch 2</t>
  </si>
  <si>
    <t>INV-054</t>
  </si>
  <si>
    <t>Monitor - Batch 2</t>
  </si>
  <si>
    <t>INV-055</t>
  </si>
  <si>
    <t>Printer - Batch 2</t>
  </si>
  <si>
    <t>INV-056</t>
  </si>
  <si>
    <t>USB Drive 32GB - Batch 2</t>
  </si>
  <si>
    <t>INV-057</t>
  </si>
  <si>
    <t>Headphones - Batch 2</t>
  </si>
  <si>
    <t>INV-058</t>
  </si>
  <si>
    <t>Webcam - Batch 2</t>
  </si>
  <si>
    <t>INV-059</t>
  </si>
  <si>
    <t>Wi-Fi Router - Batch 2</t>
  </si>
  <si>
    <t>INV-060</t>
  </si>
  <si>
    <t>SSD 1TB - Batch 2</t>
  </si>
  <si>
    <t>INV-061</t>
  </si>
  <si>
    <t>External Hard Drive - Batch 2</t>
  </si>
  <si>
    <t>INV-062</t>
  </si>
  <si>
    <t>Laptop Stand - Batch 2</t>
  </si>
  <si>
    <t>INV-063</t>
  </si>
  <si>
    <t>HDMI Cable - Batch 2</t>
  </si>
  <si>
    <t>INV-064</t>
  </si>
  <si>
    <t>Ethernet Cable - Batch 2</t>
  </si>
  <si>
    <t>INV-065</t>
  </si>
  <si>
    <t>Power Bank - Batch 2</t>
  </si>
  <si>
    <t>INV-066</t>
  </si>
  <si>
    <t>Smartphone - Batch 2</t>
  </si>
  <si>
    <t>INV-067</t>
  </si>
  <si>
    <t>Tablet - Batch 2</t>
  </si>
  <si>
    <t>INV-068</t>
  </si>
  <si>
    <t>Projector - Batch 2</t>
  </si>
  <si>
    <t>INV-069</t>
  </si>
  <si>
    <t>Ink Cartridge - Batch 2</t>
  </si>
  <si>
    <t>INV-070</t>
  </si>
  <si>
    <t>Toner Cartridge - Batch 2</t>
  </si>
  <si>
    <t>INV-071</t>
  </si>
  <si>
    <t>Surge Protector - Batch 2</t>
  </si>
  <si>
    <t>INV-072</t>
  </si>
  <si>
    <t>UPS - Batch 2</t>
  </si>
  <si>
    <t>INV-073</t>
  </si>
  <si>
    <t>Microphone - Batch 2</t>
  </si>
  <si>
    <t>INV-074</t>
  </si>
  <si>
    <t>Speakers - Batch 2</t>
  </si>
  <si>
    <t>INV-075</t>
  </si>
  <si>
    <t>Memory Card 128GB - Batch 2</t>
  </si>
  <si>
    <t>INV-076</t>
  </si>
  <si>
    <t>RAM 16GB - Batch 2</t>
  </si>
  <si>
    <t>INV-077</t>
  </si>
  <si>
    <t>Graphics Card - Batch 2</t>
  </si>
  <si>
    <t>INV-078</t>
  </si>
  <si>
    <t>CPU Cooler - Batch 2</t>
  </si>
  <si>
    <t>INV-079</t>
  </si>
  <si>
    <t>Motherboard - Batch 2</t>
  </si>
  <si>
    <t>INV-080</t>
  </si>
  <si>
    <t>Docking Station - Batch 2</t>
  </si>
  <si>
    <t>INV-081</t>
  </si>
  <si>
    <t>Barcode Scanner - Batch 2</t>
  </si>
  <si>
    <t>INV-082</t>
  </si>
  <si>
    <t>Label Printer - Batch 2</t>
  </si>
  <si>
    <t>INV-083</t>
  </si>
  <si>
    <t>Office Chair - Batch 2</t>
  </si>
  <si>
    <t>INV-084</t>
  </si>
  <si>
    <t>Office Desk - Batch 2</t>
  </si>
  <si>
    <t>INV-085</t>
  </si>
  <si>
    <t>Filing Cabinet - Batch 2</t>
  </si>
  <si>
    <t>INV-086</t>
  </si>
  <si>
    <t>Notebook Pack - Batch 2</t>
  </si>
  <si>
    <t>INV-087</t>
  </si>
  <si>
    <t>Ballpoint Pens Pack - Batch 2</t>
  </si>
  <si>
    <t>INV-088</t>
  </si>
  <si>
    <t>Stapler - Batch 2</t>
  </si>
  <si>
    <t>INV-089</t>
  </si>
  <si>
    <t>Paper Ream - Batch 2</t>
  </si>
  <si>
    <t>INV-090</t>
  </si>
  <si>
    <t>Whiteboard Marker Set - Batch 2</t>
  </si>
  <si>
    <t>INV-091</t>
  </si>
  <si>
    <t>Cleaning Wipes - Batch 2</t>
  </si>
  <si>
    <t>INV-092</t>
  </si>
  <si>
    <t>Hand Sanitizer - Batch 2</t>
  </si>
  <si>
    <t>INV-093</t>
  </si>
  <si>
    <t>First Aid Kit - Batch 2</t>
  </si>
  <si>
    <t>INV-094</t>
  </si>
  <si>
    <t>Safety Gloves Pack - Batch 2</t>
  </si>
  <si>
    <t>INV-095</t>
  </si>
  <si>
    <t>LED Bulb - Batch 2</t>
  </si>
  <si>
    <t>INV-096</t>
  </si>
  <si>
    <t>Extension Board - Batch 2</t>
  </si>
  <si>
    <t>INV-097</t>
  </si>
  <si>
    <t>Ceiling Fan - Batch 2</t>
  </si>
  <si>
    <t>INV-098</t>
  </si>
  <si>
    <t>Air Cooler - Batch 2</t>
  </si>
  <si>
    <t>INV-099</t>
  </si>
  <si>
    <t>Water Dispenser - Batch 2</t>
  </si>
  <si>
    <t>INV-100</t>
  </si>
  <si>
    <t>Coffee Maker - Batch 2</t>
  </si>
  <si>
    <t>Stock Status</t>
  </si>
  <si>
    <t>Total Inventory Value (₹)</t>
  </si>
  <si>
    <t>In Stock</t>
  </si>
  <si>
    <t>Low Stock</t>
  </si>
  <si>
    <t>Grand Total</t>
  </si>
  <si>
    <t>Count of Product ID</t>
  </si>
  <si>
    <t>STOCK STATUS</t>
  </si>
  <si>
    <t>Available Stock by Product</t>
  </si>
  <si>
    <t>Total Inventory Value by Product</t>
  </si>
  <si>
    <t>Sum of Available Stock</t>
  </si>
  <si>
    <t>Sum of Total Inventory Value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</si>
</sst>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2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3" borderId="0" xfId="0" applyFont="1" applyFill="1"/>
    <xf numFmtId="44" fontId="0" fillId="0" borderId="0" xfId="1" applyFont="1"/>
    <xf numFmtId="44" fontId="3" fillId="2" borderId="1" xfId="1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/>
    <xf numFmtId="0" fontId="2" fillId="0" borderId="0" xfId="0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[Inventory_tracker Analysis.xlsx]Stock Summary!PivotTable3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Inventory Stock Status Distribution</a:t>
            </a:r>
          </a:p>
        </c:rich>
      </c:tx>
      <c:layout>
        <c:manualLayout>
          <c:xMode val="edge"/>
          <c:yMode val="edge"/>
          <c:x val="0.14963188976377953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'Stock Summary'!$C$4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Summary'!$B$5:$B$7</c:f>
              <c:strCache>
                <c:ptCount val="2"/>
                <c:pt idx="0">
                  <c:v>In Stock</c:v>
                </c:pt>
                <c:pt idx="1">
                  <c:v>Low Stock</c:v>
                </c:pt>
              </c:strCache>
            </c:strRef>
          </c:cat>
          <c:val>
            <c:numRef>
              <c:f>'Stock Summary'!$C$5:$C$7</c:f>
              <c:numCache>
                <c:formatCode>General</c:formatCode>
                <c:ptCount val="2"/>
                <c:pt idx="0">
                  <c:v>66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D-4D44-8E76-2316BA3684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[Inventory_tracker Analysis.xlsx]Stock Summary!PivotTable4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2"/>
                </a:solidFill>
              </a:rPr>
              <a:t>Available</a:t>
            </a:r>
            <a:r>
              <a:rPr lang="en-US" sz="1600" baseline="0">
                <a:solidFill>
                  <a:schemeClr val="accent2"/>
                </a:solidFill>
              </a:rPr>
              <a:t> Stock by Product</a:t>
            </a:r>
          </a:p>
        </c:rich>
      </c:tx>
      <c:layout>
        <c:manualLayout>
          <c:xMode val="edge"/>
          <c:yMode val="edge"/>
          <c:x val="0.3407915573053367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'Stock Summary'!$C$21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'Stock Summary'!$B$22:$B$32</c:f>
              <c:strCache>
                <c:ptCount val="10"/>
                <c:pt idx="0">
                  <c:v>Air Cooler</c:v>
                </c:pt>
                <c:pt idx="1">
                  <c:v>Extension Board - Batch 2</c:v>
                </c:pt>
                <c:pt idx="2">
                  <c:v>First Aid Kit - Batch 2</c:v>
                </c:pt>
                <c:pt idx="3">
                  <c:v>Microphone</c:v>
                </c:pt>
                <c:pt idx="4">
                  <c:v>Microphone - Batch 2</c:v>
                </c:pt>
                <c:pt idx="5">
                  <c:v>Paper Ream - Batch 2</c:v>
                </c:pt>
                <c:pt idx="6">
                  <c:v>Power Bank - Batch 2</c:v>
                </c:pt>
                <c:pt idx="7">
                  <c:v>Projector - Batch 2</c:v>
                </c:pt>
                <c:pt idx="8">
                  <c:v>UPS</c:v>
                </c:pt>
                <c:pt idx="9">
                  <c:v>Wi-Fi Router - Batch 2</c:v>
                </c:pt>
              </c:strCache>
            </c:strRef>
          </c:cat>
          <c:val>
            <c:numRef>
              <c:f>'Stock Summary'!$C$22:$C$32</c:f>
              <c:numCache>
                <c:formatCode>General</c:formatCode>
                <c:ptCount val="10"/>
                <c:pt idx="0">
                  <c:v>79</c:v>
                </c:pt>
                <c:pt idx="1">
                  <c:v>78</c:v>
                </c:pt>
                <c:pt idx="2">
                  <c:v>73</c:v>
                </c:pt>
                <c:pt idx="3">
                  <c:v>80</c:v>
                </c:pt>
                <c:pt idx="4">
                  <c:v>78</c:v>
                </c:pt>
                <c:pt idx="5">
                  <c:v>78</c:v>
                </c:pt>
                <c:pt idx="6">
                  <c:v>76</c:v>
                </c:pt>
                <c:pt idx="7">
                  <c:v>80</c:v>
                </c:pt>
                <c:pt idx="8">
                  <c:v>79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1-43D8-BB32-BF095407C9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741196959"/>
        <c:axId val="741197439"/>
      </c:barChart>
      <c:catAx>
        <c:axId val="7411969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97439"/>
        <c:crosses val="autoZero"/>
        <c:auto val="1"/>
        <c:lblAlgn val="ctr"/>
        <c:lblOffset val="100"/>
        <c:noMultiLvlLbl val="0"/>
      </c:catAx>
      <c:valAx>
        <c:axId val="7411974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9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[Inventory_tracker Analysis.xlsx]Stock Summary!PivotTable5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Summary'!$C$40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'Stock Summary'!$B$41:$B$51</c:f>
              <c:strCache>
                <c:ptCount val="10"/>
                <c:pt idx="0">
                  <c:v>Air Cooler</c:v>
                </c:pt>
                <c:pt idx="1">
                  <c:v>Laptop</c:v>
                </c:pt>
                <c:pt idx="2">
                  <c:v>Laptop - Batch 2</c:v>
                </c:pt>
                <c:pt idx="3">
                  <c:v>Motherboard</c:v>
                </c:pt>
                <c:pt idx="4">
                  <c:v>Motherboard - Batch 2</c:v>
                </c:pt>
                <c:pt idx="5">
                  <c:v>Printer - Batch 2</c:v>
                </c:pt>
                <c:pt idx="6">
                  <c:v>Projector - Batch 2</c:v>
                </c:pt>
                <c:pt idx="7">
                  <c:v>Smartphone</c:v>
                </c:pt>
                <c:pt idx="8">
                  <c:v>Smartphone - Batch 2</c:v>
                </c:pt>
                <c:pt idx="9">
                  <c:v>Tablet - Batch 2</c:v>
                </c:pt>
              </c:strCache>
            </c:strRef>
          </c:cat>
          <c:val>
            <c:numRef>
              <c:f>'Stock Summary'!$C$41:$C$51</c:f>
              <c:numCache>
                <c:formatCode>_("₹"* #,##0.00_);_("₹"* \(#,##0.00\);_("₹"* "-"??_);_(@_)</c:formatCode>
                <c:ptCount val="10"/>
                <c:pt idx="0">
                  <c:v>671500</c:v>
                </c:pt>
                <c:pt idx="1">
                  <c:v>1665000</c:v>
                </c:pt>
                <c:pt idx="2">
                  <c:v>1710000</c:v>
                </c:pt>
                <c:pt idx="3">
                  <c:v>850000</c:v>
                </c:pt>
                <c:pt idx="4">
                  <c:v>500000</c:v>
                </c:pt>
                <c:pt idx="5">
                  <c:v>560500</c:v>
                </c:pt>
                <c:pt idx="6">
                  <c:v>2240000</c:v>
                </c:pt>
                <c:pt idx="7">
                  <c:v>924000</c:v>
                </c:pt>
                <c:pt idx="8">
                  <c:v>1496000</c:v>
                </c:pt>
                <c:pt idx="9">
                  <c:v>1242000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3-492E-8C3E-CDE883F62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41123519"/>
        <c:axId val="741127359"/>
      </c:barChart>
      <c:catAx>
        <c:axId val="741123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27359"/>
        <c:crosses val="autoZero"/>
        <c:auto val="1"/>
        <c:lblAlgn val="ctr"/>
        <c:lblOffset val="100"/>
        <c:noMultiLvlLbl val="0"/>
      </c:catAx>
      <c:valAx>
        <c:axId val="741127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2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308610</xdr:rowOff>
    </xdr:from>
    <xdr:to>
      <xdr:col>10</xdr:col>
      <xdr:colOff>548640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A6AA4-23D2-9593-6B56-2CA5DC98C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411480</xdr:colOff>
      <xdr:row>19</xdr:row>
      <xdr:rowOff>179070</xdr:rowOff>
    </xdr:from>
    <xdr:to>
      <xdr:col>11</xdr:col>
      <xdr:colOff>106680</xdr:colOff>
      <xdr:row>34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36D256-6C82-9B94-EE5D-B959A2AA0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586740</xdr:colOff>
      <xdr:row>38</xdr:row>
      <xdr:rowOff>108022</xdr:rowOff>
    </xdr:from>
    <xdr:to>
      <xdr:col>11</xdr:col>
      <xdr:colOff>281940</xdr:colOff>
      <xdr:row>53</xdr:row>
      <xdr:rowOff>108022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31646A-878B-3B87-BDFD-F2C7EC05D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314.580431249997" createdVersion="8" refreshedVersion="8" minRefreshableVersion="3" recordCount="100" xr:uid="{2021726F-832D-4B7D-ACC4-B469671B6EE6}">
  <cacheSource type="worksheet">
    <worksheetSource ref="A1:J101" sheet="Inventory_Tracker"/>
  </cacheSource>
  <cacheFields count="10">
    <cacheField name="Product ID" numFmtId="0">
      <sharedItems/>
    </cacheField>
    <cacheField name="Product Name" numFmtId="0">
      <sharedItems count="100">
        <s v="Laptop"/>
        <s v="Wireless Mouse"/>
        <s v="Keyboard"/>
        <s v="Monitor"/>
        <s v="Printer"/>
        <s v="USB Drive 32GB"/>
        <s v="Headphones"/>
        <s v="Webcam"/>
        <s v="Wi-Fi Router"/>
        <s v="SSD 1TB"/>
        <s v="External Hard Drive"/>
        <s v="Laptop Stand"/>
        <s v="HDMI Cable"/>
        <s v="Ethernet Cable"/>
        <s v="Power Bank"/>
        <s v="Smartphone"/>
        <s v="Tablet"/>
        <s v="Projector"/>
        <s v="Ink Cartridge"/>
        <s v="Toner Cartridge"/>
        <s v="Surge Protector"/>
        <s v="UPS"/>
        <s v="Microphone"/>
        <s v="Speakers"/>
        <s v="Memory Card 128GB"/>
        <s v="RAM 16GB"/>
        <s v="Graphics Card"/>
        <s v="CPU Cooler"/>
        <s v="Motherboard"/>
        <s v="Docking Station"/>
        <s v="Barcode Scanner"/>
        <s v="Label Printer"/>
        <s v="Office Chair"/>
        <s v="Office Desk"/>
        <s v="Filing Cabinet"/>
        <s v="Notebook Pack"/>
        <s v="Ballpoint Pens Pack"/>
        <s v="Stapler"/>
        <s v="Paper Ream"/>
        <s v="Whiteboard Marker Set"/>
        <s v="Cleaning Wipes"/>
        <s v="Hand Sanitizer"/>
        <s v="First Aid Kit"/>
        <s v="Safety Gloves Pack"/>
        <s v="LED Bulb"/>
        <s v="Extension Board"/>
        <s v="Ceiling Fan"/>
        <s v="Air Cooler"/>
        <s v="Water Dispenser"/>
        <s v="Coffee Maker"/>
        <s v="Laptop - Batch 2"/>
        <s v="Wireless Mouse - Batch 2"/>
        <s v="Keyboard - Batch 2"/>
        <s v="Monitor - Batch 2"/>
        <s v="Printer - Batch 2"/>
        <s v="USB Drive 32GB - Batch 2"/>
        <s v="Headphones - Batch 2"/>
        <s v="Webcam - Batch 2"/>
        <s v="Wi-Fi Router - Batch 2"/>
        <s v="SSD 1TB - Batch 2"/>
        <s v="External Hard Drive - Batch 2"/>
        <s v="Laptop Stand - Batch 2"/>
        <s v="HDMI Cable - Batch 2"/>
        <s v="Ethernet Cable - Batch 2"/>
        <s v="Power Bank - Batch 2"/>
        <s v="Smartphone - Batch 2"/>
        <s v="Tablet - Batch 2"/>
        <s v="Projector - Batch 2"/>
        <s v="Ink Cartridge - Batch 2"/>
        <s v="Toner Cartridge - Batch 2"/>
        <s v="Surge Protector - Batch 2"/>
        <s v="UPS - Batch 2"/>
        <s v="Microphone - Batch 2"/>
        <s v="Speakers - Batch 2"/>
        <s v="Memory Card 128GB - Batch 2"/>
        <s v="RAM 16GB - Batch 2"/>
        <s v="Graphics Card - Batch 2"/>
        <s v="CPU Cooler - Batch 2"/>
        <s v="Motherboard - Batch 2"/>
        <s v="Docking Station - Batch 2"/>
        <s v="Barcode Scanner - Batch 2"/>
        <s v="Label Printer - Batch 2"/>
        <s v="Office Chair - Batch 2"/>
        <s v="Office Desk - Batch 2"/>
        <s v="Filing Cabinet - Batch 2"/>
        <s v="Notebook Pack - Batch 2"/>
        <s v="Ballpoint Pens Pack - Batch 2"/>
        <s v="Stapler - Batch 2"/>
        <s v="Paper Ream - Batch 2"/>
        <s v="Whiteboard Marker Set - Batch 2"/>
        <s v="Cleaning Wipes - Batch 2"/>
        <s v="Hand Sanitizer - Batch 2"/>
        <s v="First Aid Kit - Batch 2"/>
        <s v="Safety Gloves Pack - Batch 2"/>
        <s v="LED Bulb - Batch 2"/>
        <s v="Extension Board - Batch 2"/>
        <s v="Ceiling Fan - Batch 2"/>
        <s v="Air Cooler - Batch 2"/>
        <s v="Water Dispenser - Batch 2"/>
        <s v="Coffee Maker - Batch 2"/>
      </sharedItems>
    </cacheField>
    <cacheField name="Category" numFmtId="0">
      <sharedItems/>
    </cacheField>
    <cacheField name="Supplier" numFmtId="0">
      <sharedItems/>
    </cacheField>
    <cacheField name="Warehouse" numFmtId="0">
      <sharedItems/>
    </cacheField>
    <cacheField name="Available Stock" numFmtId="0">
      <sharedItems containsSemiMixedTypes="0" containsString="0" containsNumber="1" containsInteger="1" minValue="0" maxValue="80"/>
    </cacheField>
    <cacheField name="Reorder Level" numFmtId="0">
      <sharedItems containsSemiMixedTypes="0" containsString="0" containsNumber="1" containsInteger="1" minValue="5" maxValue="25"/>
    </cacheField>
    <cacheField name="Unit Price (₹)" numFmtId="44">
      <sharedItems containsSemiMixedTypes="0" containsString="0" containsNumber="1" containsInteger="1" minValue="120" maxValue="45000"/>
    </cacheField>
    <cacheField name="Stock Status" numFmtId="0">
      <sharedItems count="2">
        <s v="In Stock"/>
        <s v="Low Stock"/>
      </sharedItems>
    </cacheField>
    <cacheField name="Total Inventory Value (₹)" numFmtId="44">
      <sharedItems containsSemiMixedTypes="0" containsString="0" containsNumber="1" containsInteger="1" minValue="0" maxValue="22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INV-001"/>
    <x v="0"/>
    <s v="Electronics"/>
    <s v="Jupiter Industrial"/>
    <s v="Vijayawada Central"/>
    <n v="37"/>
    <n v="15"/>
    <n v="45000"/>
    <x v="0"/>
    <n v="1665000"/>
  </r>
  <r>
    <s v="INV-002"/>
    <x v="1"/>
    <s v="Accessories"/>
    <s v="Evergreen Wholesale"/>
    <s v="Vijayawada Central"/>
    <n v="26"/>
    <n v="15"/>
    <n v="650"/>
    <x v="0"/>
    <n v="16900"/>
  </r>
  <r>
    <s v="INV-003"/>
    <x v="2"/>
    <s v="Accessories"/>
    <s v="CoreTech Distributors"/>
    <s v="Vijayawada Central"/>
    <n v="48"/>
    <n v="12"/>
    <n v="1200"/>
    <x v="0"/>
    <n v="57600"/>
  </r>
  <r>
    <s v="INV-004"/>
    <x v="3"/>
    <s v="Electronics"/>
    <s v="Indus Electronics"/>
    <s v="Hyderabad Hub"/>
    <n v="0"/>
    <n v="12"/>
    <n v="12500"/>
    <x v="1"/>
    <n v="0"/>
  </r>
  <r>
    <s v="INV-005"/>
    <x v="4"/>
    <s v="Electronics"/>
    <s v="CoreTech Distributors"/>
    <s v="Bengaluru Depot"/>
    <n v="9"/>
    <n v="5"/>
    <n v="9500"/>
    <x v="0"/>
    <n v="85500"/>
  </r>
  <r>
    <s v="INV-006"/>
    <x v="5"/>
    <s v="Storage"/>
    <s v="Indus Electronics"/>
    <s v="Vijayawada Central"/>
    <n v="44"/>
    <n v="25"/>
    <n v="450"/>
    <x v="0"/>
    <n v="19800"/>
  </r>
  <r>
    <s v="INV-007"/>
    <x v="6"/>
    <s v="Accessories"/>
    <s v="Jupiter Industrial"/>
    <s v="Chennai Warehouse"/>
    <n v="3"/>
    <n v="12"/>
    <n v="1800"/>
    <x v="1"/>
    <n v="5400"/>
  </r>
  <r>
    <s v="INV-008"/>
    <x v="7"/>
    <s v="Electronics"/>
    <s v="Jupiter Industrial"/>
    <s v="Vijayawada Central"/>
    <n v="54"/>
    <n v="25"/>
    <n v="2300"/>
    <x v="0"/>
    <n v="124200"/>
  </r>
  <r>
    <s v="INV-009"/>
    <x v="8"/>
    <s v="Networking"/>
    <s v="Indus Electronics"/>
    <s v="Vijayawada Central"/>
    <n v="20"/>
    <n v="20"/>
    <n v="3200"/>
    <x v="1"/>
    <n v="64000"/>
  </r>
  <r>
    <s v="INV-010"/>
    <x v="9"/>
    <s v="Storage"/>
    <s v="Evergreen Wholesale"/>
    <s v="Hyderabad Hub"/>
    <n v="63"/>
    <n v="15"/>
    <n v="6500"/>
    <x v="0"/>
    <n v="409500"/>
  </r>
  <r>
    <s v="INV-011"/>
    <x v="10"/>
    <s v="Storage"/>
    <s v="Evergreen Wholesale"/>
    <s v="Chennai Warehouse"/>
    <n v="39"/>
    <n v="25"/>
    <n v="5200"/>
    <x v="0"/>
    <n v="202800"/>
  </r>
  <r>
    <s v="INV-012"/>
    <x v="11"/>
    <s v="Accessories"/>
    <s v="CoreTech Distributors"/>
    <s v="Hyderabad Hub"/>
    <n v="10"/>
    <n v="15"/>
    <n v="900"/>
    <x v="1"/>
    <n v="9000"/>
  </r>
  <r>
    <s v="INV-013"/>
    <x v="12"/>
    <s v="Cables"/>
    <s v="Brightline Traders"/>
    <s v="Vijayawada Central"/>
    <n v="40"/>
    <n v="20"/>
    <n v="350"/>
    <x v="0"/>
    <n v="14000"/>
  </r>
  <r>
    <s v="INV-014"/>
    <x v="13"/>
    <s v="Cables"/>
    <s v="CoreTech Distributors"/>
    <s v="Hyderabad Hub"/>
    <n v="4"/>
    <n v="12"/>
    <n v="250"/>
    <x v="1"/>
    <n v="1000"/>
  </r>
  <r>
    <s v="INV-015"/>
    <x v="14"/>
    <s v="Accessories"/>
    <s v="Indus Electronics"/>
    <s v="Bengaluru Depot"/>
    <n v="42"/>
    <n v="12"/>
    <n v="1600"/>
    <x v="0"/>
    <n v="67200"/>
  </r>
  <r>
    <s v="INV-016"/>
    <x v="15"/>
    <s v="Electronics"/>
    <s v="Indus Electronics"/>
    <s v="Chennai Warehouse"/>
    <n v="42"/>
    <n v="25"/>
    <n v="22000"/>
    <x v="0"/>
    <n v="924000"/>
  </r>
  <r>
    <s v="INV-017"/>
    <x v="16"/>
    <s v="Electronics"/>
    <s v="Brightline Traders"/>
    <s v="Bengaluru Depot"/>
    <n v="2"/>
    <n v="5"/>
    <n v="18000"/>
    <x v="1"/>
    <n v="36000"/>
  </r>
  <r>
    <s v="INV-018"/>
    <x v="17"/>
    <s v="Electronics"/>
    <s v="Horizon Retail Supply"/>
    <s v="Chennai Warehouse"/>
    <n v="12"/>
    <n v="12"/>
    <n v="28000"/>
    <x v="1"/>
    <n v="336000"/>
  </r>
  <r>
    <s v="INV-019"/>
    <x v="18"/>
    <s v="Printer Supplies"/>
    <s v="CoreTech Distributors"/>
    <s v="Hyderabad Hub"/>
    <n v="32"/>
    <n v="15"/>
    <n v="1400"/>
    <x v="0"/>
    <n v="44800"/>
  </r>
  <r>
    <s v="INV-020"/>
    <x v="19"/>
    <s v="Printer Supplies"/>
    <s v="Indus Electronics"/>
    <s v="Chennai Warehouse"/>
    <n v="23"/>
    <n v="25"/>
    <n v="3800"/>
    <x v="1"/>
    <n v="87400"/>
  </r>
  <r>
    <s v="INV-021"/>
    <x v="20"/>
    <s v="Electrical"/>
    <s v="Horizon Retail Supply"/>
    <s v="Chennai Warehouse"/>
    <n v="3"/>
    <n v="12"/>
    <n v="1100"/>
    <x v="1"/>
    <n v="3300"/>
  </r>
  <r>
    <s v="INV-022"/>
    <x v="21"/>
    <s v="Electrical"/>
    <s v="Evergreen Wholesale"/>
    <s v="Bengaluru Depot"/>
    <n v="79"/>
    <n v="12"/>
    <n v="4800"/>
    <x v="0"/>
    <n v="379200"/>
  </r>
  <r>
    <s v="INV-023"/>
    <x v="22"/>
    <s v="Audio"/>
    <s v="Global Goods"/>
    <s v="Chennai Warehouse"/>
    <n v="80"/>
    <n v="20"/>
    <n v="2400"/>
    <x v="0"/>
    <n v="192000"/>
  </r>
  <r>
    <s v="INV-024"/>
    <x v="23"/>
    <s v="Audio"/>
    <s v="FutureWare India"/>
    <s v="Chennai Warehouse"/>
    <n v="60"/>
    <n v="25"/>
    <n v="1900"/>
    <x v="0"/>
    <n v="114000"/>
  </r>
  <r>
    <s v="INV-025"/>
    <x v="24"/>
    <s v="Storage"/>
    <s v="CoreTech Distributors"/>
    <s v="Chennai Warehouse"/>
    <n v="17"/>
    <n v="15"/>
    <n v="950"/>
    <x v="0"/>
    <n v="16150"/>
  </r>
  <r>
    <s v="INV-026"/>
    <x v="25"/>
    <s v="Computer Components"/>
    <s v="Apex Supplies"/>
    <s v="Hyderabad Hub"/>
    <n v="41"/>
    <n v="15"/>
    <n v="3200"/>
    <x v="0"/>
    <n v="131200"/>
  </r>
  <r>
    <s v="INV-027"/>
    <x v="26"/>
    <s v="Computer Components"/>
    <s v="Indus Electronics"/>
    <s v="Vijayawada Central"/>
    <n v="5"/>
    <n v="5"/>
    <n v="35000"/>
    <x v="1"/>
    <n v="175000"/>
  </r>
  <r>
    <s v="INV-028"/>
    <x v="27"/>
    <s v="Computer Components"/>
    <s v="Evergreen Wholesale"/>
    <s v="Bengaluru Depot"/>
    <n v="14"/>
    <n v="15"/>
    <n v="2600"/>
    <x v="1"/>
    <n v="36400"/>
  </r>
  <r>
    <s v="INV-029"/>
    <x v="28"/>
    <s v="Computer Components"/>
    <s v="Apex Supplies"/>
    <s v="Bengaluru Depot"/>
    <n v="68"/>
    <n v="20"/>
    <n v="12500"/>
    <x v="0"/>
    <n v="850000"/>
  </r>
  <r>
    <s v="INV-030"/>
    <x v="29"/>
    <s v="Accessories"/>
    <s v="CoreTech Distributors"/>
    <s v="Bengaluru Depot"/>
    <n v="0"/>
    <n v="20"/>
    <n v="7200"/>
    <x v="1"/>
    <n v="0"/>
  </r>
  <r>
    <s v="INV-031"/>
    <x v="30"/>
    <s v="Office Equipment"/>
    <s v="Evergreen Wholesale"/>
    <s v="Bengaluru Depot"/>
    <n v="47"/>
    <n v="15"/>
    <n v="4200"/>
    <x v="0"/>
    <n v="197400"/>
  </r>
  <r>
    <s v="INV-032"/>
    <x v="31"/>
    <s v="Office Equipment"/>
    <s v="CoreTech Distributors"/>
    <s v="Hyderabad Hub"/>
    <n v="66"/>
    <n v="25"/>
    <n v="6800"/>
    <x v="0"/>
    <n v="448800"/>
  </r>
  <r>
    <s v="INV-033"/>
    <x v="32"/>
    <s v="Furniture"/>
    <s v="Indus Electronics"/>
    <s v="Vijayawada Central"/>
    <n v="49"/>
    <n v="25"/>
    <n v="6500"/>
    <x v="0"/>
    <n v="318500"/>
  </r>
  <r>
    <s v="INV-034"/>
    <x v="33"/>
    <s v="Furniture"/>
    <s v="Apex Supplies"/>
    <s v="Hyderabad Hub"/>
    <n v="42"/>
    <n v="20"/>
    <n v="9800"/>
    <x v="0"/>
    <n v="411600"/>
  </r>
  <r>
    <s v="INV-035"/>
    <x v="34"/>
    <s v="Furniture"/>
    <s v="Apex Supplies"/>
    <s v="Hyderabad Hub"/>
    <n v="7"/>
    <n v="12"/>
    <n v="5400"/>
    <x v="1"/>
    <n v="37800"/>
  </r>
  <r>
    <s v="INV-036"/>
    <x v="35"/>
    <s v="Stationery"/>
    <s v="Global Goods"/>
    <s v="Hyderabad Hub"/>
    <n v="12"/>
    <n v="12"/>
    <n v="180"/>
    <x v="1"/>
    <n v="2160"/>
  </r>
  <r>
    <s v="INV-037"/>
    <x v="36"/>
    <s v="Stationery"/>
    <s v="Evergreen Wholesale"/>
    <s v="Vijayawada Central"/>
    <n v="37"/>
    <n v="25"/>
    <n v="120"/>
    <x v="0"/>
    <n v="4440"/>
  </r>
  <r>
    <s v="INV-038"/>
    <x v="37"/>
    <s v="Stationery"/>
    <s v="Apex Supplies"/>
    <s v="Bengaluru Depot"/>
    <n v="43"/>
    <n v="10"/>
    <n v="250"/>
    <x v="0"/>
    <n v="10750"/>
  </r>
  <r>
    <s v="INV-039"/>
    <x v="38"/>
    <s v="Stationery"/>
    <s v="Brightline Traders"/>
    <s v="Chennai Warehouse"/>
    <n v="57"/>
    <n v="25"/>
    <n v="320"/>
    <x v="0"/>
    <n v="18240"/>
  </r>
  <r>
    <s v="INV-040"/>
    <x v="39"/>
    <s v="Stationery"/>
    <s v="Jupiter Industrial"/>
    <s v="Hyderabad Hub"/>
    <n v="61"/>
    <n v="12"/>
    <n v="220"/>
    <x v="0"/>
    <n v="13420"/>
  </r>
  <r>
    <s v="INV-041"/>
    <x v="40"/>
    <s v="Cleaning Supplies"/>
    <s v="FutureWare India"/>
    <s v="Bengaluru Depot"/>
    <n v="31"/>
    <n v="5"/>
    <n v="160"/>
    <x v="0"/>
    <n v="4960"/>
  </r>
  <r>
    <s v="INV-042"/>
    <x v="41"/>
    <s v="Cleaning Supplies"/>
    <s v="Delta Office Mart"/>
    <s v="Bengaluru Depot"/>
    <n v="3"/>
    <n v="12"/>
    <n v="190"/>
    <x v="1"/>
    <n v="570"/>
  </r>
  <r>
    <s v="INV-043"/>
    <x v="42"/>
    <s v="Safety"/>
    <s v="Brightline Traders"/>
    <s v="Bengaluru Depot"/>
    <n v="12"/>
    <n v="20"/>
    <n v="750"/>
    <x v="1"/>
    <n v="9000"/>
  </r>
  <r>
    <s v="INV-044"/>
    <x v="43"/>
    <s v="Safety"/>
    <s v="CoreTech Distributors"/>
    <s v="Chennai Warehouse"/>
    <n v="22"/>
    <n v="5"/>
    <n v="300"/>
    <x v="0"/>
    <n v="6600"/>
  </r>
  <r>
    <s v="INV-045"/>
    <x v="44"/>
    <s v="Electrical"/>
    <s v="CoreTech Distributors"/>
    <s v="Chennai Warehouse"/>
    <n v="5"/>
    <n v="5"/>
    <n v="180"/>
    <x v="1"/>
    <n v="900"/>
  </r>
  <r>
    <s v="INV-046"/>
    <x v="45"/>
    <s v="Electrical"/>
    <s v="Evergreen Wholesale"/>
    <s v="Hyderabad Hub"/>
    <n v="68"/>
    <n v="15"/>
    <n v="850"/>
    <x v="0"/>
    <n v="57800"/>
  </r>
  <r>
    <s v="INV-047"/>
    <x v="46"/>
    <s v="Electrical"/>
    <s v="CoreTech Distributors"/>
    <s v="Hyderabad Hub"/>
    <n v="44"/>
    <n v="15"/>
    <n v="2400"/>
    <x v="0"/>
    <n v="105600"/>
  </r>
  <r>
    <s v="INV-048"/>
    <x v="47"/>
    <s v="Appliances"/>
    <s v="Jupiter Industrial"/>
    <s v="Hyderabad Hub"/>
    <n v="79"/>
    <n v="8"/>
    <n v="8500"/>
    <x v="0"/>
    <n v="671500"/>
  </r>
  <r>
    <s v="INV-049"/>
    <x v="48"/>
    <s v="Appliances"/>
    <s v="Jupiter Industrial"/>
    <s v="Hyderabad Hub"/>
    <n v="1"/>
    <n v="8"/>
    <n v="7200"/>
    <x v="1"/>
    <n v="7200"/>
  </r>
  <r>
    <s v="INV-050"/>
    <x v="49"/>
    <s v="Appliances"/>
    <s v="CoreTech Distributors"/>
    <s v="Hyderabad Hub"/>
    <n v="64"/>
    <n v="10"/>
    <n v="3600"/>
    <x v="0"/>
    <n v="230400"/>
  </r>
  <r>
    <s v="INV-051"/>
    <x v="50"/>
    <s v="Electronics"/>
    <s v="Global Goods"/>
    <s v="Hyderabad Hub"/>
    <n v="38"/>
    <n v="8"/>
    <n v="45000"/>
    <x v="0"/>
    <n v="1710000"/>
  </r>
  <r>
    <s v="INV-052"/>
    <x v="51"/>
    <s v="Accessories"/>
    <s v="Global Goods"/>
    <s v="Chennai Warehouse"/>
    <n v="3"/>
    <n v="10"/>
    <n v="650"/>
    <x v="1"/>
    <n v="1950"/>
  </r>
  <r>
    <s v="INV-053"/>
    <x v="52"/>
    <s v="Accessories"/>
    <s v="Evergreen Wholesale"/>
    <s v="Vijayawada Central"/>
    <n v="51"/>
    <n v="5"/>
    <n v="1200"/>
    <x v="0"/>
    <n v="61200"/>
  </r>
  <r>
    <s v="INV-054"/>
    <x v="53"/>
    <s v="Electronics"/>
    <s v="Brightline Traders"/>
    <s v="Bengaluru Depot"/>
    <n v="12"/>
    <n v="12"/>
    <n v="12500"/>
    <x v="1"/>
    <n v="150000"/>
  </r>
  <r>
    <s v="INV-055"/>
    <x v="54"/>
    <s v="Electronics"/>
    <s v="Indus Electronics"/>
    <s v="Vijayawada Central"/>
    <n v="59"/>
    <n v="20"/>
    <n v="9500"/>
    <x v="0"/>
    <n v="560500"/>
  </r>
  <r>
    <s v="INV-056"/>
    <x v="55"/>
    <s v="Storage"/>
    <s v="Apex Supplies"/>
    <s v="Bengaluru Depot"/>
    <n v="3"/>
    <n v="12"/>
    <n v="450"/>
    <x v="1"/>
    <n v="1350"/>
  </r>
  <r>
    <s v="INV-057"/>
    <x v="56"/>
    <s v="Accessories"/>
    <s v="Jupiter Industrial"/>
    <s v="Vijayawada Central"/>
    <n v="26"/>
    <n v="15"/>
    <n v="1800"/>
    <x v="0"/>
    <n v="46800"/>
  </r>
  <r>
    <s v="INV-058"/>
    <x v="57"/>
    <s v="Electronics"/>
    <s v="Horizon Retail Supply"/>
    <s v="Chennai Warehouse"/>
    <n v="14"/>
    <n v="8"/>
    <n v="2300"/>
    <x v="0"/>
    <n v="32200"/>
  </r>
  <r>
    <s v="INV-059"/>
    <x v="58"/>
    <s v="Networking"/>
    <s v="Brightline Traders"/>
    <s v="Chennai Warehouse"/>
    <n v="70"/>
    <n v="5"/>
    <n v="3200"/>
    <x v="0"/>
    <n v="224000"/>
  </r>
  <r>
    <s v="INV-060"/>
    <x v="59"/>
    <s v="Storage"/>
    <s v="Horizon Retail Supply"/>
    <s v="Chennai Warehouse"/>
    <n v="65"/>
    <n v="8"/>
    <n v="6500"/>
    <x v="0"/>
    <n v="422500"/>
  </r>
  <r>
    <s v="INV-061"/>
    <x v="60"/>
    <s v="Storage"/>
    <s v="Horizon Retail Supply"/>
    <s v="Bengaluru Depot"/>
    <n v="61"/>
    <n v="20"/>
    <n v="5200"/>
    <x v="0"/>
    <n v="317200"/>
  </r>
  <r>
    <s v="INV-062"/>
    <x v="61"/>
    <s v="Accessories"/>
    <s v="Brightline Traders"/>
    <s v="Hyderabad Hub"/>
    <n v="24"/>
    <n v="5"/>
    <n v="900"/>
    <x v="0"/>
    <n v="21600"/>
  </r>
  <r>
    <s v="INV-063"/>
    <x v="62"/>
    <s v="Cables"/>
    <s v="Apex Supplies"/>
    <s v="Vijayawada Central"/>
    <n v="4"/>
    <n v="5"/>
    <n v="350"/>
    <x v="1"/>
    <n v="1400"/>
  </r>
  <r>
    <s v="INV-064"/>
    <x v="63"/>
    <s v="Cables"/>
    <s v="CoreTech Distributors"/>
    <s v="Chennai Warehouse"/>
    <n v="40"/>
    <n v="5"/>
    <n v="250"/>
    <x v="0"/>
    <n v="10000"/>
  </r>
  <r>
    <s v="INV-065"/>
    <x v="64"/>
    <s v="Accessories"/>
    <s v="Horizon Retail Supply"/>
    <s v="Chennai Warehouse"/>
    <n v="76"/>
    <n v="5"/>
    <n v="1600"/>
    <x v="0"/>
    <n v="121600"/>
  </r>
  <r>
    <s v="INV-066"/>
    <x v="65"/>
    <s v="Electronics"/>
    <s v="Global Goods"/>
    <s v="Hyderabad Hub"/>
    <n v="68"/>
    <n v="20"/>
    <n v="22000"/>
    <x v="0"/>
    <n v="1496000"/>
  </r>
  <r>
    <s v="INV-067"/>
    <x v="66"/>
    <s v="Electronics"/>
    <s v="Indus Electronics"/>
    <s v="Vijayawada Central"/>
    <n v="69"/>
    <n v="5"/>
    <n v="18000"/>
    <x v="0"/>
    <n v="1242000"/>
  </r>
  <r>
    <s v="INV-068"/>
    <x v="67"/>
    <s v="Electronics"/>
    <s v="Brightline Traders"/>
    <s v="Bengaluru Depot"/>
    <n v="80"/>
    <n v="25"/>
    <n v="28000"/>
    <x v="0"/>
    <n v="2240000"/>
  </r>
  <r>
    <s v="INV-069"/>
    <x v="68"/>
    <s v="Printer Supplies"/>
    <s v="Brightline Traders"/>
    <s v="Bengaluru Depot"/>
    <n v="35"/>
    <n v="10"/>
    <n v="1400"/>
    <x v="0"/>
    <n v="49000"/>
  </r>
  <r>
    <s v="INV-070"/>
    <x v="69"/>
    <s v="Printer Supplies"/>
    <s v="Brightline Traders"/>
    <s v="Bengaluru Depot"/>
    <n v="1"/>
    <n v="8"/>
    <n v="3800"/>
    <x v="1"/>
    <n v="3800"/>
  </r>
  <r>
    <s v="INV-071"/>
    <x v="70"/>
    <s v="Electrical"/>
    <s v="Indus Electronics"/>
    <s v="Chennai Warehouse"/>
    <n v="16"/>
    <n v="12"/>
    <n v="1100"/>
    <x v="0"/>
    <n v="17600"/>
  </r>
  <r>
    <s v="INV-072"/>
    <x v="71"/>
    <s v="Electrical"/>
    <s v="Brightline Traders"/>
    <s v="Vijayawada Central"/>
    <n v="10"/>
    <n v="10"/>
    <n v="4800"/>
    <x v="1"/>
    <n v="48000"/>
  </r>
  <r>
    <s v="INV-073"/>
    <x v="72"/>
    <s v="Audio"/>
    <s v="CoreTech Distributors"/>
    <s v="Bengaluru Depot"/>
    <n v="78"/>
    <n v="15"/>
    <n v="2400"/>
    <x v="0"/>
    <n v="187200"/>
  </r>
  <r>
    <s v="INV-074"/>
    <x v="73"/>
    <s v="Audio"/>
    <s v="CoreTech Distributors"/>
    <s v="Bengaluru Depot"/>
    <n v="47"/>
    <n v="5"/>
    <n v="1900"/>
    <x v="0"/>
    <n v="89300"/>
  </r>
  <r>
    <s v="INV-075"/>
    <x v="74"/>
    <s v="Storage"/>
    <s v="Global Goods"/>
    <s v="Hyderabad Hub"/>
    <n v="43"/>
    <n v="20"/>
    <n v="950"/>
    <x v="0"/>
    <n v="40850"/>
  </r>
  <r>
    <s v="INV-076"/>
    <x v="75"/>
    <s v="Computer Components"/>
    <s v="Indus Electronics"/>
    <s v="Chennai Warehouse"/>
    <n v="22"/>
    <n v="15"/>
    <n v="3200"/>
    <x v="0"/>
    <n v="70400"/>
  </r>
  <r>
    <s v="INV-077"/>
    <x v="76"/>
    <s v="Computer Components"/>
    <s v="Evergreen Wholesale"/>
    <s v="Vijayawada Central"/>
    <n v="10"/>
    <n v="20"/>
    <n v="35000"/>
    <x v="1"/>
    <n v="350000"/>
  </r>
  <r>
    <s v="INV-078"/>
    <x v="77"/>
    <s v="Computer Components"/>
    <s v="CoreTech Distributors"/>
    <s v="Vijayawada Central"/>
    <n v="11"/>
    <n v="5"/>
    <n v="2600"/>
    <x v="0"/>
    <n v="28600"/>
  </r>
  <r>
    <s v="INV-079"/>
    <x v="78"/>
    <s v="Computer Components"/>
    <s v="Jupiter Industrial"/>
    <s v="Bengaluru Depot"/>
    <n v="40"/>
    <n v="15"/>
    <n v="12500"/>
    <x v="0"/>
    <n v="500000"/>
  </r>
  <r>
    <s v="INV-080"/>
    <x v="79"/>
    <s v="Accessories"/>
    <s v="Jupiter Industrial"/>
    <s v="Hyderabad Hub"/>
    <n v="31"/>
    <n v="20"/>
    <n v="7200"/>
    <x v="0"/>
    <n v="223200"/>
  </r>
  <r>
    <s v="INV-081"/>
    <x v="80"/>
    <s v="Office Equipment"/>
    <s v="Jupiter Industrial"/>
    <s v="Hyderabad Hub"/>
    <n v="25"/>
    <n v="25"/>
    <n v="4200"/>
    <x v="1"/>
    <n v="105000"/>
  </r>
  <r>
    <s v="INV-082"/>
    <x v="81"/>
    <s v="Office Equipment"/>
    <s v="Brightline Traders"/>
    <s v="Chennai Warehouse"/>
    <n v="9"/>
    <n v="8"/>
    <n v="6800"/>
    <x v="0"/>
    <n v="61200"/>
  </r>
  <r>
    <s v="INV-083"/>
    <x v="82"/>
    <s v="Furniture"/>
    <s v="Delta Office Mart"/>
    <s v="Vijayawada Central"/>
    <n v="4"/>
    <n v="15"/>
    <n v="6500"/>
    <x v="1"/>
    <n v="26000"/>
  </r>
  <r>
    <s v="INV-084"/>
    <x v="83"/>
    <s v="Furniture"/>
    <s v="Indus Electronics"/>
    <s v="Bengaluru Depot"/>
    <n v="5"/>
    <n v="15"/>
    <n v="9800"/>
    <x v="1"/>
    <n v="49000"/>
  </r>
  <r>
    <s v="INV-085"/>
    <x v="84"/>
    <s v="Furniture"/>
    <s v="Delta Office Mart"/>
    <s v="Chennai Warehouse"/>
    <n v="64"/>
    <n v="5"/>
    <n v="5400"/>
    <x v="0"/>
    <n v="345600"/>
  </r>
  <r>
    <s v="INV-086"/>
    <x v="85"/>
    <s v="Stationery"/>
    <s v="Brightline Traders"/>
    <s v="Chennai Warehouse"/>
    <n v="35"/>
    <n v="8"/>
    <n v="180"/>
    <x v="0"/>
    <n v="6300"/>
  </r>
  <r>
    <s v="INV-087"/>
    <x v="86"/>
    <s v="Stationery"/>
    <s v="Delta Office Mart"/>
    <s v="Chennai Warehouse"/>
    <n v="2"/>
    <n v="8"/>
    <n v="120"/>
    <x v="1"/>
    <n v="240"/>
  </r>
  <r>
    <s v="INV-088"/>
    <x v="87"/>
    <s v="Stationery"/>
    <s v="Apex Supplies"/>
    <s v="Hyderabad Hub"/>
    <n v="23"/>
    <n v="12"/>
    <n v="250"/>
    <x v="0"/>
    <n v="5750"/>
  </r>
  <r>
    <s v="INV-089"/>
    <x v="88"/>
    <s v="Stationery"/>
    <s v="Jupiter Industrial"/>
    <s v="Hyderabad Hub"/>
    <n v="78"/>
    <n v="8"/>
    <n v="320"/>
    <x v="0"/>
    <n v="24960"/>
  </r>
  <r>
    <s v="INV-090"/>
    <x v="89"/>
    <s v="Stationery"/>
    <s v="FutureWare India"/>
    <s v="Hyderabad Hub"/>
    <n v="20"/>
    <n v="20"/>
    <n v="220"/>
    <x v="1"/>
    <n v="4400"/>
  </r>
  <r>
    <s v="INV-091"/>
    <x v="90"/>
    <s v="Cleaning Supplies"/>
    <s v="Indus Electronics"/>
    <s v="Vijayawada Central"/>
    <n v="18"/>
    <n v="20"/>
    <n v="160"/>
    <x v="1"/>
    <n v="2880"/>
  </r>
  <r>
    <s v="INV-092"/>
    <x v="91"/>
    <s v="Cleaning Supplies"/>
    <s v="Delta Office Mart"/>
    <s v="Chennai Warehouse"/>
    <n v="61"/>
    <n v="8"/>
    <n v="190"/>
    <x v="0"/>
    <n v="11590"/>
  </r>
  <r>
    <s v="INV-093"/>
    <x v="92"/>
    <s v="Safety"/>
    <s v="Horizon Retail Supply"/>
    <s v="Chennai Warehouse"/>
    <n v="73"/>
    <n v="12"/>
    <n v="750"/>
    <x v="0"/>
    <n v="54750"/>
  </r>
  <r>
    <s v="INV-094"/>
    <x v="93"/>
    <s v="Safety"/>
    <s v="Brightline Traders"/>
    <s v="Bengaluru Depot"/>
    <n v="3"/>
    <n v="20"/>
    <n v="300"/>
    <x v="1"/>
    <n v="900"/>
  </r>
  <r>
    <s v="INV-095"/>
    <x v="94"/>
    <s v="Electrical"/>
    <s v="Horizon Retail Supply"/>
    <s v="Bengaluru Depot"/>
    <n v="31"/>
    <n v="5"/>
    <n v="180"/>
    <x v="0"/>
    <n v="5580"/>
  </r>
  <r>
    <s v="INV-096"/>
    <x v="95"/>
    <s v="Electrical"/>
    <s v="CoreTech Distributors"/>
    <s v="Chennai Warehouse"/>
    <n v="78"/>
    <n v="12"/>
    <n v="850"/>
    <x v="0"/>
    <n v="66300"/>
  </r>
  <r>
    <s v="INV-097"/>
    <x v="96"/>
    <s v="Electrical"/>
    <s v="Global Goods"/>
    <s v="Hyderabad Hub"/>
    <n v="61"/>
    <n v="5"/>
    <n v="2400"/>
    <x v="0"/>
    <n v="146400"/>
  </r>
  <r>
    <s v="INV-098"/>
    <x v="97"/>
    <s v="Appliances"/>
    <s v="Apex Supplies"/>
    <s v="Chennai Warehouse"/>
    <n v="1"/>
    <n v="8"/>
    <n v="8500"/>
    <x v="1"/>
    <n v="8500"/>
  </r>
  <r>
    <s v="INV-099"/>
    <x v="98"/>
    <s v="Appliances"/>
    <s v="Delta Office Mart"/>
    <s v="Hyderabad Hub"/>
    <n v="12"/>
    <n v="12"/>
    <n v="7200"/>
    <x v="1"/>
    <n v="86400"/>
  </r>
  <r>
    <s v="INV-100"/>
    <x v="99"/>
    <s v="Appliances"/>
    <s v="Indus Electronics"/>
    <s v="Vijayawada Central"/>
    <n v="18"/>
    <n v="5"/>
    <n v="3600"/>
    <x v="0"/>
    <n v="64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610B3-B019-498C-9D93-BF74CA9EDD01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 Name">
  <location ref="B40:C51" firstHeaderRow="1" firstDataRow="1" firstDataCol="1"/>
  <pivotFields count="10">
    <pivotField showAll="0"/>
    <pivotField axis="axisRow" showAll="0" measureFilter="1">
      <items count="101">
        <item x="47"/>
        <item x="97"/>
        <item x="36"/>
        <item x="86"/>
        <item x="30"/>
        <item x="80"/>
        <item x="46"/>
        <item x="96"/>
        <item x="40"/>
        <item x="90"/>
        <item x="49"/>
        <item x="99"/>
        <item x="27"/>
        <item x="77"/>
        <item x="29"/>
        <item x="79"/>
        <item x="13"/>
        <item x="63"/>
        <item x="45"/>
        <item x="95"/>
        <item x="10"/>
        <item x="60"/>
        <item x="34"/>
        <item x="84"/>
        <item x="42"/>
        <item x="92"/>
        <item x="26"/>
        <item x="76"/>
        <item x="41"/>
        <item x="91"/>
        <item x="12"/>
        <item x="62"/>
        <item x="6"/>
        <item x="56"/>
        <item x="18"/>
        <item x="68"/>
        <item x="2"/>
        <item x="52"/>
        <item x="31"/>
        <item x="81"/>
        <item x="0"/>
        <item x="50"/>
        <item x="11"/>
        <item x="61"/>
        <item x="44"/>
        <item x="94"/>
        <item x="24"/>
        <item x="74"/>
        <item x="22"/>
        <item x="72"/>
        <item x="3"/>
        <item x="53"/>
        <item x="28"/>
        <item x="78"/>
        <item x="35"/>
        <item x="85"/>
        <item x="32"/>
        <item x="82"/>
        <item x="33"/>
        <item x="83"/>
        <item x="38"/>
        <item x="88"/>
        <item x="14"/>
        <item x="64"/>
        <item x="4"/>
        <item x="54"/>
        <item x="17"/>
        <item x="67"/>
        <item x="25"/>
        <item x="75"/>
        <item x="43"/>
        <item x="93"/>
        <item x="15"/>
        <item x="65"/>
        <item x="23"/>
        <item x="73"/>
        <item x="9"/>
        <item x="59"/>
        <item x="37"/>
        <item x="87"/>
        <item x="20"/>
        <item x="70"/>
        <item x="16"/>
        <item x="66"/>
        <item x="19"/>
        <item x="69"/>
        <item x="21"/>
        <item x="71"/>
        <item x="5"/>
        <item x="55"/>
        <item x="48"/>
        <item x="98"/>
        <item x="7"/>
        <item x="57"/>
        <item x="39"/>
        <item x="89"/>
        <item x="8"/>
        <item x="58"/>
        <item x="1"/>
        <item x="51"/>
        <item t="default"/>
      </items>
    </pivotField>
    <pivotField showAll="0"/>
    <pivotField showAll="0"/>
    <pivotField showAll="0"/>
    <pivotField showAll="0"/>
    <pivotField showAll="0"/>
    <pivotField numFmtId="44" showAll="0"/>
    <pivotField showAll="0"/>
    <pivotField dataField="1" numFmtId="44" showAll="0"/>
  </pivotFields>
  <rowFields count="1">
    <field x="1"/>
  </rowFields>
  <rowItems count="11">
    <i>
      <x/>
    </i>
    <i>
      <x v="40"/>
    </i>
    <i>
      <x v="41"/>
    </i>
    <i>
      <x v="52"/>
    </i>
    <i>
      <x v="53"/>
    </i>
    <i>
      <x v="65"/>
    </i>
    <i>
      <x v="67"/>
    </i>
    <i>
      <x v="72"/>
    </i>
    <i>
      <x v="73"/>
    </i>
    <i>
      <x v="83"/>
    </i>
    <i t="grand">
      <x/>
    </i>
  </rowItems>
  <colItems count="1">
    <i/>
  </colItems>
  <dataFields count="1">
    <dataField name="Sum of Total Inventory Value (₹)" fld="9" baseField="0" baseItem="0" numFmtId="4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C7D16-8BA7-4B74-9DA6-E8DF1A2E6FAD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Name">
  <location ref="B21:C32" firstHeaderRow="1" firstDataRow="1" firstDataCol="1"/>
  <pivotFields count="10">
    <pivotField showAll="0"/>
    <pivotField axis="axisRow" showAll="0" measureFilter="1">
      <items count="101">
        <item x="47"/>
        <item x="97"/>
        <item x="36"/>
        <item x="86"/>
        <item x="30"/>
        <item x="80"/>
        <item x="46"/>
        <item x="96"/>
        <item x="40"/>
        <item x="90"/>
        <item x="49"/>
        <item x="99"/>
        <item x="27"/>
        <item x="77"/>
        <item x="29"/>
        <item x="79"/>
        <item x="13"/>
        <item x="63"/>
        <item x="45"/>
        <item x="95"/>
        <item x="10"/>
        <item x="60"/>
        <item x="34"/>
        <item x="84"/>
        <item x="42"/>
        <item x="92"/>
        <item x="26"/>
        <item x="76"/>
        <item x="41"/>
        <item x="91"/>
        <item x="12"/>
        <item x="62"/>
        <item x="6"/>
        <item x="56"/>
        <item x="18"/>
        <item x="68"/>
        <item x="2"/>
        <item x="52"/>
        <item x="31"/>
        <item x="81"/>
        <item x="0"/>
        <item x="50"/>
        <item x="11"/>
        <item x="61"/>
        <item x="44"/>
        <item x="94"/>
        <item x="24"/>
        <item x="74"/>
        <item x="22"/>
        <item x="72"/>
        <item x="3"/>
        <item x="53"/>
        <item x="28"/>
        <item x="78"/>
        <item x="35"/>
        <item x="85"/>
        <item x="32"/>
        <item x="82"/>
        <item x="33"/>
        <item x="83"/>
        <item x="38"/>
        <item x="88"/>
        <item x="14"/>
        <item x="64"/>
        <item x="4"/>
        <item x="54"/>
        <item x="17"/>
        <item x="67"/>
        <item x="25"/>
        <item x="75"/>
        <item x="43"/>
        <item x="93"/>
        <item x="15"/>
        <item x="65"/>
        <item x="23"/>
        <item x="73"/>
        <item x="9"/>
        <item x="59"/>
        <item x="37"/>
        <item x="87"/>
        <item x="20"/>
        <item x="70"/>
        <item x="16"/>
        <item x="66"/>
        <item x="19"/>
        <item x="69"/>
        <item x="21"/>
        <item x="71"/>
        <item x="5"/>
        <item x="55"/>
        <item x="48"/>
        <item x="98"/>
        <item x="7"/>
        <item x="57"/>
        <item x="39"/>
        <item x="89"/>
        <item x="8"/>
        <item x="58"/>
        <item x="1"/>
        <item x="51"/>
        <item t="default"/>
      </items>
    </pivotField>
    <pivotField showAll="0"/>
    <pivotField showAll="0"/>
    <pivotField showAll="0"/>
    <pivotField dataField="1" showAll="0"/>
    <pivotField showAll="0"/>
    <pivotField numFmtId="44" showAll="0"/>
    <pivotField showAll="0"/>
    <pivotField numFmtId="44" showAll="0"/>
  </pivotFields>
  <rowFields count="1">
    <field x="1"/>
  </rowFields>
  <rowItems count="11">
    <i>
      <x/>
    </i>
    <i>
      <x v="19"/>
    </i>
    <i>
      <x v="25"/>
    </i>
    <i>
      <x v="48"/>
    </i>
    <i>
      <x v="49"/>
    </i>
    <i>
      <x v="61"/>
    </i>
    <i>
      <x v="63"/>
    </i>
    <i>
      <x v="67"/>
    </i>
    <i>
      <x v="86"/>
    </i>
    <i>
      <x v="97"/>
    </i>
    <i t="grand">
      <x/>
    </i>
  </rowItems>
  <colItems count="1">
    <i/>
  </colItems>
  <dataFields count="1">
    <dataField name="Sum of Available Stock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47D95-F594-40AE-9118-AABAB72A65CD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ock Status">
  <location ref="B4:C7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numFmtId="44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Product ID" fld="0" subtotal="count" baseField="0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8" type="button" dataOnly="0" labelOnly="1" outline="0" axis="axisRow" fieldPosition="0"/>
    </format>
    <format dxfId="6">
      <pivotArea dataOnly="0" labelOnly="1" fieldPosition="0">
        <references count="1">
          <reference field="8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51B7-629B-4576-BC6C-DC11FBBAACC8}">
  <dimension ref="A1:H101"/>
  <sheetViews>
    <sheetView workbookViewId="0">
      <selection activeCell="D19" sqref="D19"/>
    </sheetView>
  </sheetViews>
  <sheetFormatPr defaultRowHeight="14.4" x14ac:dyDescent="0.3"/>
  <cols>
    <col min="1" max="1" width="9.88671875" bestFit="1" customWidth="1"/>
    <col min="2" max="2" width="27" bestFit="1" customWidth="1"/>
    <col min="3" max="3" width="19.77734375" bestFit="1" customWidth="1"/>
    <col min="4" max="4" width="18.6640625" bestFit="1" customWidth="1"/>
    <col min="5" max="5" width="17.44140625" bestFit="1" customWidth="1"/>
    <col min="6" max="6" width="13.88671875" bestFit="1" customWidth="1"/>
    <col min="7" max="7" width="12.44140625" bestFit="1" customWidth="1"/>
    <col min="8" max="8" width="11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37</v>
      </c>
      <c r="G2">
        <v>15</v>
      </c>
      <c r="H2">
        <v>45000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26</v>
      </c>
      <c r="G3">
        <v>15</v>
      </c>
      <c r="H3">
        <v>650</v>
      </c>
    </row>
    <row r="4" spans="1:8" x14ac:dyDescent="0.3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48</v>
      </c>
      <c r="G4">
        <v>12</v>
      </c>
      <c r="H4">
        <v>1200</v>
      </c>
    </row>
    <row r="5" spans="1:8" x14ac:dyDescent="0.3">
      <c r="A5" t="s">
        <v>20</v>
      </c>
      <c r="B5" t="s">
        <v>21</v>
      </c>
      <c r="C5" t="s">
        <v>10</v>
      </c>
      <c r="D5" t="s">
        <v>22</v>
      </c>
      <c r="E5" t="s">
        <v>23</v>
      </c>
      <c r="F5">
        <v>0</v>
      </c>
      <c r="G5">
        <v>12</v>
      </c>
      <c r="H5">
        <v>12500</v>
      </c>
    </row>
    <row r="6" spans="1:8" x14ac:dyDescent="0.3">
      <c r="A6" t="s">
        <v>24</v>
      </c>
      <c r="B6" t="s">
        <v>25</v>
      </c>
      <c r="C6" t="s">
        <v>10</v>
      </c>
      <c r="D6" t="s">
        <v>19</v>
      </c>
      <c r="E6" t="s">
        <v>26</v>
      </c>
      <c r="F6">
        <v>9</v>
      </c>
      <c r="G6">
        <v>5</v>
      </c>
      <c r="H6">
        <v>9500</v>
      </c>
    </row>
    <row r="7" spans="1:8" x14ac:dyDescent="0.3">
      <c r="A7" t="s">
        <v>27</v>
      </c>
      <c r="B7" t="s">
        <v>28</v>
      </c>
      <c r="C7" t="s">
        <v>29</v>
      </c>
      <c r="D7" t="s">
        <v>22</v>
      </c>
      <c r="E7" t="s">
        <v>12</v>
      </c>
      <c r="F7">
        <v>44</v>
      </c>
      <c r="G7">
        <v>25</v>
      </c>
      <c r="H7">
        <v>450</v>
      </c>
    </row>
    <row r="8" spans="1:8" x14ac:dyDescent="0.3">
      <c r="A8" t="s">
        <v>30</v>
      </c>
      <c r="B8" t="s">
        <v>31</v>
      </c>
      <c r="C8" t="s">
        <v>15</v>
      </c>
      <c r="D8" t="s">
        <v>11</v>
      </c>
      <c r="E8" t="s">
        <v>32</v>
      </c>
      <c r="F8">
        <v>3</v>
      </c>
      <c r="G8">
        <v>12</v>
      </c>
      <c r="H8">
        <v>1800</v>
      </c>
    </row>
    <row r="9" spans="1:8" x14ac:dyDescent="0.3">
      <c r="A9" t="s">
        <v>33</v>
      </c>
      <c r="B9" t="s">
        <v>34</v>
      </c>
      <c r="C9" t="s">
        <v>10</v>
      </c>
      <c r="D9" t="s">
        <v>11</v>
      </c>
      <c r="E9" t="s">
        <v>12</v>
      </c>
      <c r="F9">
        <v>54</v>
      </c>
      <c r="G9">
        <v>25</v>
      </c>
      <c r="H9">
        <v>2300</v>
      </c>
    </row>
    <row r="10" spans="1:8" x14ac:dyDescent="0.3">
      <c r="A10" t="s">
        <v>35</v>
      </c>
      <c r="B10" t="s">
        <v>36</v>
      </c>
      <c r="C10" t="s">
        <v>37</v>
      </c>
      <c r="D10" t="s">
        <v>22</v>
      </c>
      <c r="E10" t="s">
        <v>12</v>
      </c>
      <c r="F10">
        <v>20</v>
      </c>
      <c r="G10">
        <v>20</v>
      </c>
      <c r="H10">
        <v>3200</v>
      </c>
    </row>
    <row r="11" spans="1:8" x14ac:dyDescent="0.3">
      <c r="A11" t="s">
        <v>38</v>
      </c>
      <c r="B11" t="s">
        <v>39</v>
      </c>
      <c r="C11" t="s">
        <v>29</v>
      </c>
      <c r="D11" t="s">
        <v>16</v>
      </c>
      <c r="E11" t="s">
        <v>23</v>
      </c>
      <c r="F11">
        <v>63</v>
      </c>
      <c r="G11">
        <v>15</v>
      </c>
      <c r="H11">
        <v>6500</v>
      </c>
    </row>
    <row r="12" spans="1:8" x14ac:dyDescent="0.3">
      <c r="A12" t="s">
        <v>40</v>
      </c>
      <c r="B12" t="s">
        <v>41</v>
      </c>
      <c r="C12" t="s">
        <v>29</v>
      </c>
      <c r="D12" t="s">
        <v>16</v>
      </c>
      <c r="E12" t="s">
        <v>32</v>
      </c>
      <c r="F12">
        <v>39</v>
      </c>
      <c r="G12">
        <v>25</v>
      </c>
      <c r="H12">
        <v>5200</v>
      </c>
    </row>
    <row r="13" spans="1:8" x14ac:dyDescent="0.3">
      <c r="A13" t="s">
        <v>42</v>
      </c>
      <c r="B13" t="s">
        <v>43</v>
      </c>
      <c r="C13" t="s">
        <v>15</v>
      </c>
      <c r="D13" t="s">
        <v>19</v>
      </c>
      <c r="E13" t="s">
        <v>23</v>
      </c>
      <c r="F13">
        <v>10</v>
      </c>
      <c r="G13">
        <v>15</v>
      </c>
      <c r="H13">
        <v>900</v>
      </c>
    </row>
    <row r="14" spans="1:8" x14ac:dyDescent="0.3">
      <c r="A14" t="s">
        <v>44</v>
      </c>
      <c r="B14" t="s">
        <v>45</v>
      </c>
      <c r="C14" t="s">
        <v>46</v>
      </c>
      <c r="D14" t="s">
        <v>47</v>
      </c>
      <c r="E14" t="s">
        <v>12</v>
      </c>
      <c r="F14">
        <v>40</v>
      </c>
      <c r="G14">
        <v>20</v>
      </c>
      <c r="H14">
        <v>350</v>
      </c>
    </row>
    <row r="15" spans="1:8" x14ac:dyDescent="0.3">
      <c r="A15" t="s">
        <v>48</v>
      </c>
      <c r="B15" t="s">
        <v>49</v>
      </c>
      <c r="C15" t="s">
        <v>46</v>
      </c>
      <c r="D15" t="s">
        <v>19</v>
      </c>
      <c r="E15" t="s">
        <v>23</v>
      </c>
      <c r="F15">
        <v>4</v>
      </c>
      <c r="G15">
        <v>12</v>
      </c>
      <c r="H15">
        <v>250</v>
      </c>
    </row>
    <row r="16" spans="1:8" x14ac:dyDescent="0.3">
      <c r="A16" t="s">
        <v>50</v>
      </c>
      <c r="B16" t="s">
        <v>51</v>
      </c>
      <c r="C16" t="s">
        <v>15</v>
      </c>
      <c r="D16" t="s">
        <v>22</v>
      </c>
      <c r="E16" t="s">
        <v>26</v>
      </c>
      <c r="F16">
        <v>42</v>
      </c>
      <c r="G16">
        <v>12</v>
      </c>
      <c r="H16">
        <v>1600</v>
      </c>
    </row>
    <row r="17" spans="1:8" x14ac:dyDescent="0.3">
      <c r="A17" t="s">
        <v>52</v>
      </c>
      <c r="B17" t="s">
        <v>53</v>
      </c>
      <c r="C17" t="s">
        <v>10</v>
      </c>
      <c r="D17" t="s">
        <v>22</v>
      </c>
      <c r="E17" t="s">
        <v>32</v>
      </c>
      <c r="F17">
        <v>42</v>
      </c>
      <c r="G17">
        <v>25</v>
      </c>
      <c r="H17">
        <v>22000</v>
      </c>
    </row>
    <row r="18" spans="1:8" x14ac:dyDescent="0.3">
      <c r="A18" t="s">
        <v>54</v>
      </c>
      <c r="B18" t="s">
        <v>55</v>
      </c>
      <c r="C18" t="s">
        <v>10</v>
      </c>
      <c r="D18" t="s">
        <v>47</v>
      </c>
      <c r="E18" t="s">
        <v>26</v>
      </c>
      <c r="F18">
        <v>2</v>
      </c>
      <c r="G18">
        <v>5</v>
      </c>
      <c r="H18">
        <v>18000</v>
      </c>
    </row>
    <row r="19" spans="1:8" x14ac:dyDescent="0.3">
      <c r="A19" t="s">
        <v>56</v>
      </c>
      <c r="B19" t="s">
        <v>57</v>
      </c>
      <c r="C19" t="s">
        <v>10</v>
      </c>
      <c r="D19" t="s">
        <v>58</v>
      </c>
      <c r="E19" t="s">
        <v>32</v>
      </c>
      <c r="F19">
        <v>12</v>
      </c>
      <c r="G19">
        <v>12</v>
      </c>
      <c r="H19">
        <v>28000</v>
      </c>
    </row>
    <row r="20" spans="1:8" x14ac:dyDescent="0.3">
      <c r="A20" t="s">
        <v>59</v>
      </c>
      <c r="B20" t="s">
        <v>60</v>
      </c>
      <c r="C20" t="s">
        <v>61</v>
      </c>
      <c r="D20" t="s">
        <v>19</v>
      </c>
      <c r="E20" t="s">
        <v>23</v>
      </c>
      <c r="F20">
        <v>32</v>
      </c>
      <c r="G20">
        <v>15</v>
      </c>
      <c r="H20">
        <v>1400</v>
      </c>
    </row>
    <row r="21" spans="1:8" x14ac:dyDescent="0.3">
      <c r="A21" t="s">
        <v>62</v>
      </c>
      <c r="B21" t="s">
        <v>63</v>
      </c>
      <c r="C21" t="s">
        <v>61</v>
      </c>
      <c r="D21" t="s">
        <v>22</v>
      </c>
      <c r="E21" t="s">
        <v>32</v>
      </c>
      <c r="F21">
        <v>23</v>
      </c>
      <c r="G21">
        <v>25</v>
      </c>
      <c r="H21">
        <v>3800</v>
      </c>
    </row>
    <row r="22" spans="1:8" x14ac:dyDescent="0.3">
      <c r="A22" t="s">
        <v>64</v>
      </c>
      <c r="B22" t="s">
        <v>65</v>
      </c>
      <c r="C22" t="s">
        <v>66</v>
      </c>
      <c r="D22" t="s">
        <v>58</v>
      </c>
      <c r="E22" t="s">
        <v>32</v>
      </c>
      <c r="F22">
        <v>3</v>
      </c>
      <c r="G22">
        <v>12</v>
      </c>
      <c r="H22">
        <v>1100</v>
      </c>
    </row>
    <row r="23" spans="1:8" x14ac:dyDescent="0.3">
      <c r="A23" t="s">
        <v>67</v>
      </c>
      <c r="B23" t="s">
        <v>68</v>
      </c>
      <c r="C23" t="s">
        <v>66</v>
      </c>
      <c r="D23" t="s">
        <v>16</v>
      </c>
      <c r="E23" t="s">
        <v>26</v>
      </c>
      <c r="F23">
        <v>79</v>
      </c>
      <c r="G23">
        <v>12</v>
      </c>
      <c r="H23">
        <v>4800</v>
      </c>
    </row>
    <row r="24" spans="1:8" x14ac:dyDescent="0.3">
      <c r="A24" t="s">
        <v>69</v>
      </c>
      <c r="B24" t="s">
        <v>70</v>
      </c>
      <c r="C24" t="s">
        <v>71</v>
      </c>
      <c r="D24" t="s">
        <v>72</v>
      </c>
      <c r="E24" t="s">
        <v>32</v>
      </c>
      <c r="F24">
        <v>80</v>
      </c>
      <c r="G24">
        <v>20</v>
      </c>
      <c r="H24">
        <v>2400</v>
      </c>
    </row>
    <row r="25" spans="1:8" x14ac:dyDescent="0.3">
      <c r="A25" t="s">
        <v>73</v>
      </c>
      <c r="B25" t="s">
        <v>74</v>
      </c>
      <c r="C25" t="s">
        <v>71</v>
      </c>
      <c r="D25" t="s">
        <v>75</v>
      </c>
      <c r="E25" t="s">
        <v>32</v>
      </c>
      <c r="F25">
        <v>60</v>
      </c>
      <c r="G25">
        <v>25</v>
      </c>
      <c r="H25">
        <v>1900</v>
      </c>
    </row>
    <row r="26" spans="1:8" x14ac:dyDescent="0.3">
      <c r="A26" t="s">
        <v>76</v>
      </c>
      <c r="B26" t="s">
        <v>77</v>
      </c>
      <c r="C26" t="s">
        <v>29</v>
      </c>
      <c r="D26" t="s">
        <v>19</v>
      </c>
      <c r="E26" t="s">
        <v>32</v>
      </c>
      <c r="F26">
        <v>17</v>
      </c>
      <c r="G26">
        <v>15</v>
      </c>
      <c r="H26">
        <v>950</v>
      </c>
    </row>
    <row r="27" spans="1:8" x14ac:dyDescent="0.3">
      <c r="A27" t="s">
        <v>78</v>
      </c>
      <c r="B27" t="s">
        <v>79</v>
      </c>
      <c r="C27" t="s">
        <v>80</v>
      </c>
      <c r="D27" t="s">
        <v>81</v>
      </c>
      <c r="E27" t="s">
        <v>23</v>
      </c>
      <c r="F27">
        <v>41</v>
      </c>
      <c r="G27">
        <v>15</v>
      </c>
      <c r="H27">
        <v>3200</v>
      </c>
    </row>
    <row r="28" spans="1:8" x14ac:dyDescent="0.3">
      <c r="A28" t="s">
        <v>82</v>
      </c>
      <c r="B28" t="s">
        <v>83</v>
      </c>
      <c r="C28" t="s">
        <v>80</v>
      </c>
      <c r="D28" t="s">
        <v>22</v>
      </c>
      <c r="E28" t="s">
        <v>12</v>
      </c>
      <c r="F28">
        <v>5</v>
      </c>
      <c r="G28">
        <v>5</v>
      </c>
      <c r="H28">
        <v>35000</v>
      </c>
    </row>
    <row r="29" spans="1:8" x14ac:dyDescent="0.3">
      <c r="A29" t="s">
        <v>84</v>
      </c>
      <c r="B29" t="s">
        <v>85</v>
      </c>
      <c r="C29" t="s">
        <v>80</v>
      </c>
      <c r="D29" t="s">
        <v>16</v>
      </c>
      <c r="E29" t="s">
        <v>26</v>
      </c>
      <c r="F29">
        <v>14</v>
      </c>
      <c r="G29">
        <v>15</v>
      </c>
      <c r="H29">
        <v>2600</v>
      </c>
    </row>
    <row r="30" spans="1:8" x14ac:dyDescent="0.3">
      <c r="A30" t="s">
        <v>86</v>
      </c>
      <c r="B30" t="s">
        <v>87</v>
      </c>
      <c r="C30" t="s">
        <v>80</v>
      </c>
      <c r="D30" t="s">
        <v>81</v>
      </c>
      <c r="E30" t="s">
        <v>26</v>
      </c>
      <c r="F30">
        <v>68</v>
      </c>
      <c r="G30">
        <v>20</v>
      </c>
      <c r="H30">
        <v>12500</v>
      </c>
    </row>
    <row r="31" spans="1:8" x14ac:dyDescent="0.3">
      <c r="A31" t="s">
        <v>88</v>
      </c>
      <c r="B31" t="s">
        <v>89</v>
      </c>
      <c r="C31" t="s">
        <v>15</v>
      </c>
      <c r="D31" t="s">
        <v>19</v>
      </c>
      <c r="E31" t="s">
        <v>26</v>
      </c>
      <c r="F31">
        <v>0</v>
      </c>
      <c r="G31">
        <v>20</v>
      </c>
      <c r="H31">
        <v>7200</v>
      </c>
    </row>
    <row r="32" spans="1:8" x14ac:dyDescent="0.3">
      <c r="A32" t="s">
        <v>90</v>
      </c>
      <c r="B32" t="s">
        <v>91</v>
      </c>
      <c r="C32" t="s">
        <v>92</v>
      </c>
      <c r="D32" t="s">
        <v>16</v>
      </c>
      <c r="E32" t="s">
        <v>26</v>
      </c>
      <c r="F32">
        <v>47</v>
      </c>
      <c r="G32">
        <v>15</v>
      </c>
      <c r="H32">
        <v>4200</v>
      </c>
    </row>
    <row r="33" spans="1:8" x14ac:dyDescent="0.3">
      <c r="A33" t="s">
        <v>93</v>
      </c>
      <c r="B33" t="s">
        <v>94</v>
      </c>
      <c r="C33" t="s">
        <v>92</v>
      </c>
      <c r="D33" t="s">
        <v>19</v>
      </c>
      <c r="E33" t="s">
        <v>23</v>
      </c>
      <c r="F33">
        <v>66</v>
      </c>
      <c r="G33">
        <v>25</v>
      </c>
      <c r="H33">
        <v>6800</v>
      </c>
    </row>
    <row r="34" spans="1:8" x14ac:dyDescent="0.3">
      <c r="A34" t="s">
        <v>95</v>
      </c>
      <c r="B34" t="s">
        <v>96</v>
      </c>
      <c r="C34" t="s">
        <v>97</v>
      </c>
      <c r="D34" t="s">
        <v>22</v>
      </c>
      <c r="E34" t="s">
        <v>12</v>
      </c>
      <c r="F34">
        <v>49</v>
      </c>
      <c r="G34">
        <v>25</v>
      </c>
      <c r="H34">
        <v>6500</v>
      </c>
    </row>
    <row r="35" spans="1:8" x14ac:dyDescent="0.3">
      <c r="A35" t="s">
        <v>98</v>
      </c>
      <c r="B35" t="s">
        <v>99</v>
      </c>
      <c r="C35" t="s">
        <v>97</v>
      </c>
      <c r="D35" t="s">
        <v>81</v>
      </c>
      <c r="E35" t="s">
        <v>23</v>
      </c>
      <c r="F35">
        <v>42</v>
      </c>
      <c r="G35">
        <v>20</v>
      </c>
      <c r="H35">
        <v>9800</v>
      </c>
    </row>
    <row r="36" spans="1:8" x14ac:dyDescent="0.3">
      <c r="A36" t="s">
        <v>100</v>
      </c>
      <c r="B36" t="s">
        <v>101</v>
      </c>
      <c r="C36" t="s">
        <v>97</v>
      </c>
      <c r="D36" t="s">
        <v>81</v>
      </c>
      <c r="E36" t="s">
        <v>23</v>
      </c>
      <c r="F36">
        <v>7</v>
      </c>
      <c r="G36">
        <v>12</v>
      </c>
      <c r="H36">
        <v>5400</v>
      </c>
    </row>
    <row r="37" spans="1:8" x14ac:dyDescent="0.3">
      <c r="A37" t="s">
        <v>102</v>
      </c>
      <c r="B37" t="s">
        <v>103</v>
      </c>
      <c r="C37" t="s">
        <v>104</v>
      </c>
      <c r="D37" t="s">
        <v>72</v>
      </c>
      <c r="E37" t="s">
        <v>23</v>
      </c>
      <c r="F37">
        <v>12</v>
      </c>
      <c r="G37">
        <v>12</v>
      </c>
      <c r="H37">
        <v>180</v>
      </c>
    </row>
    <row r="38" spans="1:8" x14ac:dyDescent="0.3">
      <c r="A38" t="s">
        <v>105</v>
      </c>
      <c r="B38" t="s">
        <v>106</v>
      </c>
      <c r="C38" t="s">
        <v>104</v>
      </c>
      <c r="D38" t="s">
        <v>16</v>
      </c>
      <c r="E38" t="s">
        <v>12</v>
      </c>
      <c r="F38">
        <v>37</v>
      </c>
      <c r="G38">
        <v>25</v>
      </c>
      <c r="H38">
        <v>120</v>
      </c>
    </row>
    <row r="39" spans="1:8" x14ac:dyDescent="0.3">
      <c r="A39" t="s">
        <v>107</v>
      </c>
      <c r="B39" t="s">
        <v>108</v>
      </c>
      <c r="C39" t="s">
        <v>104</v>
      </c>
      <c r="D39" t="s">
        <v>81</v>
      </c>
      <c r="E39" t="s">
        <v>26</v>
      </c>
      <c r="F39">
        <v>43</v>
      </c>
      <c r="G39">
        <v>10</v>
      </c>
      <c r="H39">
        <v>250</v>
      </c>
    </row>
    <row r="40" spans="1:8" x14ac:dyDescent="0.3">
      <c r="A40" t="s">
        <v>109</v>
      </c>
      <c r="B40" t="s">
        <v>110</v>
      </c>
      <c r="C40" t="s">
        <v>104</v>
      </c>
      <c r="D40" t="s">
        <v>47</v>
      </c>
      <c r="E40" t="s">
        <v>32</v>
      </c>
      <c r="F40">
        <v>57</v>
      </c>
      <c r="G40">
        <v>25</v>
      </c>
      <c r="H40">
        <v>320</v>
      </c>
    </row>
    <row r="41" spans="1:8" x14ac:dyDescent="0.3">
      <c r="A41" t="s">
        <v>111</v>
      </c>
      <c r="B41" t="s">
        <v>112</v>
      </c>
      <c r="C41" t="s">
        <v>104</v>
      </c>
      <c r="D41" t="s">
        <v>11</v>
      </c>
      <c r="E41" t="s">
        <v>23</v>
      </c>
      <c r="F41">
        <v>61</v>
      </c>
      <c r="G41">
        <v>12</v>
      </c>
      <c r="H41">
        <v>220</v>
      </c>
    </row>
    <row r="42" spans="1:8" x14ac:dyDescent="0.3">
      <c r="A42" t="s">
        <v>113</v>
      </c>
      <c r="B42" t="s">
        <v>114</v>
      </c>
      <c r="C42" t="s">
        <v>115</v>
      </c>
      <c r="D42" t="s">
        <v>75</v>
      </c>
      <c r="E42" t="s">
        <v>26</v>
      </c>
      <c r="F42">
        <v>31</v>
      </c>
      <c r="G42">
        <v>5</v>
      </c>
      <c r="H42">
        <v>160</v>
      </c>
    </row>
    <row r="43" spans="1:8" x14ac:dyDescent="0.3">
      <c r="A43" t="s">
        <v>116</v>
      </c>
      <c r="B43" t="s">
        <v>117</v>
      </c>
      <c r="C43" t="s">
        <v>115</v>
      </c>
      <c r="D43" t="s">
        <v>118</v>
      </c>
      <c r="E43" t="s">
        <v>26</v>
      </c>
      <c r="F43">
        <v>3</v>
      </c>
      <c r="G43">
        <v>12</v>
      </c>
      <c r="H43">
        <v>190</v>
      </c>
    </row>
    <row r="44" spans="1:8" x14ac:dyDescent="0.3">
      <c r="A44" t="s">
        <v>119</v>
      </c>
      <c r="B44" t="s">
        <v>120</v>
      </c>
      <c r="C44" t="s">
        <v>121</v>
      </c>
      <c r="D44" t="s">
        <v>47</v>
      </c>
      <c r="E44" t="s">
        <v>26</v>
      </c>
      <c r="F44">
        <v>12</v>
      </c>
      <c r="G44">
        <v>20</v>
      </c>
      <c r="H44">
        <v>750</v>
      </c>
    </row>
    <row r="45" spans="1:8" x14ac:dyDescent="0.3">
      <c r="A45" t="s">
        <v>122</v>
      </c>
      <c r="B45" t="s">
        <v>123</v>
      </c>
      <c r="C45" t="s">
        <v>121</v>
      </c>
      <c r="D45" t="s">
        <v>19</v>
      </c>
      <c r="E45" t="s">
        <v>32</v>
      </c>
      <c r="F45">
        <v>22</v>
      </c>
      <c r="G45">
        <v>5</v>
      </c>
      <c r="H45">
        <v>300</v>
      </c>
    </row>
    <row r="46" spans="1:8" x14ac:dyDescent="0.3">
      <c r="A46" t="s">
        <v>124</v>
      </c>
      <c r="B46" t="s">
        <v>125</v>
      </c>
      <c r="C46" t="s">
        <v>66</v>
      </c>
      <c r="D46" t="s">
        <v>19</v>
      </c>
      <c r="E46" t="s">
        <v>32</v>
      </c>
      <c r="F46">
        <v>5</v>
      </c>
      <c r="G46">
        <v>5</v>
      </c>
      <c r="H46">
        <v>180</v>
      </c>
    </row>
    <row r="47" spans="1:8" x14ac:dyDescent="0.3">
      <c r="A47" t="s">
        <v>126</v>
      </c>
      <c r="B47" t="s">
        <v>127</v>
      </c>
      <c r="C47" t="s">
        <v>66</v>
      </c>
      <c r="D47" t="s">
        <v>16</v>
      </c>
      <c r="E47" t="s">
        <v>23</v>
      </c>
      <c r="F47">
        <v>68</v>
      </c>
      <c r="G47">
        <v>15</v>
      </c>
      <c r="H47">
        <v>850</v>
      </c>
    </row>
    <row r="48" spans="1:8" x14ac:dyDescent="0.3">
      <c r="A48" t="s">
        <v>128</v>
      </c>
      <c r="B48" t="s">
        <v>129</v>
      </c>
      <c r="C48" t="s">
        <v>66</v>
      </c>
      <c r="D48" t="s">
        <v>19</v>
      </c>
      <c r="E48" t="s">
        <v>23</v>
      </c>
      <c r="F48">
        <v>44</v>
      </c>
      <c r="G48">
        <v>15</v>
      </c>
      <c r="H48">
        <v>2400</v>
      </c>
    </row>
    <row r="49" spans="1:8" x14ac:dyDescent="0.3">
      <c r="A49" t="s">
        <v>130</v>
      </c>
      <c r="B49" t="s">
        <v>131</v>
      </c>
      <c r="C49" t="s">
        <v>132</v>
      </c>
      <c r="D49" t="s">
        <v>11</v>
      </c>
      <c r="E49" t="s">
        <v>23</v>
      </c>
      <c r="F49">
        <v>79</v>
      </c>
      <c r="G49">
        <v>8</v>
      </c>
      <c r="H49">
        <v>8500</v>
      </c>
    </row>
    <row r="50" spans="1:8" x14ac:dyDescent="0.3">
      <c r="A50" t="s">
        <v>133</v>
      </c>
      <c r="B50" t="s">
        <v>134</v>
      </c>
      <c r="C50" t="s">
        <v>132</v>
      </c>
      <c r="D50" t="s">
        <v>11</v>
      </c>
      <c r="E50" t="s">
        <v>23</v>
      </c>
      <c r="F50">
        <v>1</v>
      </c>
      <c r="G50">
        <v>8</v>
      </c>
      <c r="H50">
        <v>7200</v>
      </c>
    </row>
    <row r="51" spans="1:8" x14ac:dyDescent="0.3">
      <c r="A51" t="s">
        <v>135</v>
      </c>
      <c r="B51" t="s">
        <v>136</v>
      </c>
      <c r="C51" t="s">
        <v>132</v>
      </c>
      <c r="D51" t="s">
        <v>19</v>
      </c>
      <c r="E51" t="s">
        <v>23</v>
      </c>
      <c r="F51">
        <v>64</v>
      </c>
      <c r="G51">
        <v>10</v>
      </c>
      <c r="H51">
        <v>3600</v>
      </c>
    </row>
    <row r="52" spans="1:8" x14ac:dyDescent="0.3">
      <c r="A52" t="s">
        <v>137</v>
      </c>
      <c r="B52" t="s">
        <v>138</v>
      </c>
      <c r="C52" t="s">
        <v>10</v>
      </c>
      <c r="D52" t="s">
        <v>72</v>
      </c>
      <c r="E52" t="s">
        <v>23</v>
      </c>
      <c r="F52">
        <v>38</v>
      </c>
      <c r="G52">
        <v>8</v>
      </c>
      <c r="H52">
        <v>45000</v>
      </c>
    </row>
    <row r="53" spans="1:8" x14ac:dyDescent="0.3">
      <c r="A53" t="s">
        <v>139</v>
      </c>
      <c r="B53" t="s">
        <v>140</v>
      </c>
      <c r="C53" t="s">
        <v>15</v>
      </c>
      <c r="D53" t="s">
        <v>72</v>
      </c>
      <c r="E53" t="s">
        <v>32</v>
      </c>
      <c r="F53">
        <v>3</v>
      </c>
      <c r="G53">
        <v>10</v>
      </c>
      <c r="H53">
        <v>650</v>
      </c>
    </row>
    <row r="54" spans="1:8" x14ac:dyDescent="0.3">
      <c r="A54" t="s">
        <v>141</v>
      </c>
      <c r="B54" t="s">
        <v>142</v>
      </c>
      <c r="C54" t="s">
        <v>15</v>
      </c>
      <c r="D54" t="s">
        <v>16</v>
      </c>
      <c r="E54" t="s">
        <v>12</v>
      </c>
      <c r="F54">
        <v>51</v>
      </c>
      <c r="G54">
        <v>5</v>
      </c>
      <c r="H54">
        <v>1200</v>
      </c>
    </row>
    <row r="55" spans="1:8" x14ac:dyDescent="0.3">
      <c r="A55" t="s">
        <v>143</v>
      </c>
      <c r="B55" t="s">
        <v>144</v>
      </c>
      <c r="C55" t="s">
        <v>10</v>
      </c>
      <c r="D55" t="s">
        <v>47</v>
      </c>
      <c r="E55" t="s">
        <v>26</v>
      </c>
      <c r="F55">
        <v>12</v>
      </c>
      <c r="G55">
        <v>12</v>
      </c>
      <c r="H55">
        <v>12500</v>
      </c>
    </row>
    <row r="56" spans="1:8" x14ac:dyDescent="0.3">
      <c r="A56" t="s">
        <v>145</v>
      </c>
      <c r="B56" t="s">
        <v>146</v>
      </c>
      <c r="C56" t="s">
        <v>10</v>
      </c>
      <c r="D56" t="s">
        <v>22</v>
      </c>
      <c r="E56" t="s">
        <v>12</v>
      </c>
      <c r="F56">
        <v>59</v>
      </c>
      <c r="G56">
        <v>20</v>
      </c>
      <c r="H56">
        <v>9500</v>
      </c>
    </row>
    <row r="57" spans="1:8" x14ac:dyDescent="0.3">
      <c r="A57" t="s">
        <v>147</v>
      </c>
      <c r="B57" t="s">
        <v>148</v>
      </c>
      <c r="C57" t="s">
        <v>29</v>
      </c>
      <c r="D57" t="s">
        <v>81</v>
      </c>
      <c r="E57" t="s">
        <v>26</v>
      </c>
      <c r="F57">
        <v>3</v>
      </c>
      <c r="G57">
        <v>12</v>
      </c>
      <c r="H57">
        <v>450</v>
      </c>
    </row>
    <row r="58" spans="1:8" x14ac:dyDescent="0.3">
      <c r="A58" t="s">
        <v>149</v>
      </c>
      <c r="B58" t="s">
        <v>150</v>
      </c>
      <c r="C58" t="s">
        <v>15</v>
      </c>
      <c r="D58" t="s">
        <v>11</v>
      </c>
      <c r="E58" t="s">
        <v>12</v>
      </c>
      <c r="F58">
        <v>26</v>
      </c>
      <c r="G58">
        <v>15</v>
      </c>
      <c r="H58">
        <v>1800</v>
      </c>
    </row>
    <row r="59" spans="1:8" x14ac:dyDescent="0.3">
      <c r="A59" t="s">
        <v>151</v>
      </c>
      <c r="B59" t="s">
        <v>152</v>
      </c>
      <c r="C59" t="s">
        <v>10</v>
      </c>
      <c r="D59" t="s">
        <v>58</v>
      </c>
      <c r="E59" t="s">
        <v>32</v>
      </c>
      <c r="F59">
        <v>14</v>
      </c>
      <c r="G59">
        <v>8</v>
      </c>
      <c r="H59">
        <v>2300</v>
      </c>
    </row>
    <row r="60" spans="1:8" x14ac:dyDescent="0.3">
      <c r="A60" t="s">
        <v>153</v>
      </c>
      <c r="B60" t="s">
        <v>154</v>
      </c>
      <c r="C60" t="s">
        <v>37</v>
      </c>
      <c r="D60" t="s">
        <v>47</v>
      </c>
      <c r="E60" t="s">
        <v>32</v>
      </c>
      <c r="F60">
        <v>70</v>
      </c>
      <c r="G60">
        <v>5</v>
      </c>
      <c r="H60">
        <v>3200</v>
      </c>
    </row>
    <row r="61" spans="1:8" x14ac:dyDescent="0.3">
      <c r="A61" t="s">
        <v>155</v>
      </c>
      <c r="B61" t="s">
        <v>156</v>
      </c>
      <c r="C61" t="s">
        <v>29</v>
      </c>
      <c r="D61" t="s">
        <v>58</v>
      </c>
      <c r="E61" t="s">
        <v>32</v>
      </c>
      <c r="F61">
        <v>65</v>
      </c>
      <c r="G61">
        <v>8</v>
      </c>
      <c r="H61">
        <v>6500</v>
      </c>
    </row>
    <row r="62" spans="1:8" x14ac:dyDescent="0.3">
      <c r="A62" t="s">
        <v>157</v>
      </c>
      <c r="B62" t="s">
        <v>158</v>
      </c>
      <c r="C62" t="s">
        <v>29</v>
      </c>
      <c r="D62" t="s">
        <v>58</v>
      </c>
      <c r="E62" t="s">
        <v>26</v>
      </c>
      <c r="F62">
        <v>61</v>
      </c>
      <c r="G62">
        <v>20</v>
      </c>
      <c r="H62">
        <v>5200</v>
      </c>
    </row>
    <row r="63" spans="1:8" x14ac:dyDescent="0.3">
      <c r="A63" t="s">
        <v>159</v>
      </c>
      <c r="B63" t="s">
        <v>160</v>
      </c>
      <c r="C63" t="s">
        <v>15</v>
      </c>
      <c r="D63" t="s">
        <v>47</v>
      </c>
      <c r="E63" t="s">
        <v>23</v>
      </c>
      <c r="F63">
        <v>24</v>
      </c>
      <c r="G63">
        <v>5</v>
      </c>
      <c r="H63">
        <v>900</v>
      </c>
    </row>
    <row r="64" spans="1:8" x14ac:dyDescent="0.3">
      <c r="A64" t="s">
        <v>161</v>
      </c>
      <c r="B64" t="s">
        <v>162</v>
      </c>
      <c r="C64" t="s">
        <v>46</v>
      </c>
      <c r="D64" t="s">
        <v>81</v>
      </c>
      <c r="E64" t="s">
        <v>12</v>
      </c>
      <c r="F64">
        <v>4</v>
      </c>
      <c r="G64">
        <v>5</v>
      </c>
      <c r="H64">
        <v>350</v>
      </c>
    </row>
    <row r="65" spans="1:8" x14ac:dyDescent="0.3">
      <c r="A65" t="s">
        <v>163</v>
      </c>
      <c r="B65" t="s">
        <v>164</v>
      </c>
      <c r="C65" t="s">
        <v>46</v>
      </c>
      <c r="D65" t="s">
        <v>19</v>
      </c>
      <c r="E65" t="s">
        <v>32</v>
      </c>
      <c r="F65">
        <v>40</v>
      </c>
      <c r="G65">
        <v>5</v>
      </c>
      <c r="H65">
        <v>250</v>
      </c>
    </row>
    <row r="66" spans="1:8" x14ac:dyDescent="0.3">
      <c r="A66" t="s">
        <v>165</v>
      </c>
      <c r="B66" t="s">
        <v>166</v>
      </c>
      <c r="C66" t="s">
        <v>15</v>
      </c>
      <c r="D66" t="s">
        <v>58</v>
      </c>
      <c r="E66" t="s">
        <v>32</v>
      </c>
      <c r="F66">
        <v>76</v>
      </c>
      <c r="G66">
        <v>5</v>
      </c>
      <c r="H66">
        <v>1600</v>
      </c>
    </row>
    <row r="67" spans="1:8" x14ac:dyDescent="0.3">
      <c r="A67" t="s">
        <v>167</v>
      </c>
      <c r="B67" t="s">
        <v>168</v>
      </c>
      <c r="C67" t="s">
        <v>10</v>
      </c>
      <c r="D67" t="s">
        <v>72</v>
      </c>
      <c r="E67" t="s">
        <v>23</v>
      </c>
      <c r="F67">
        <v>68</v>
      </c>
      <c r="G67">
        <v>20</v>
      </c>
      <c r="H67">
        <v>22000</v>
      </c>
    </row>
    <row r="68" spans="1:8" x14ac:dyDescent="0.3">
      <c r="A68" t="s">
        <v>169</v>
      </c>
      <c r="B68" t="s">
        <v>170</v>
      </c>
      <c r="C68" t="s">
        <v>10</v>
      </c>
      <c r="D68" t="s">
        <v>22</v>
      </c>
      <c r="E68" t="s">
        <v>12</v>
      </c>
      <c r="F68">
        <v>69</v>
      </c>
      <c r="G68">
        <v>5</v>
      </c>
      <c r="H68">
        <v>18000</v>
      </c>
    </row>
    <row r="69" spans="1:8" x14ac:dyDescent="0.3">
      <c r="A69" t="s">
        <v>171</v>
      </c>
      <c r="B69" t="s">
        <v>172</v>
      </c>
      <c r="C69" t="s">
        <v>10</v>
      </c>
      <c r="D69" t="s">
        <v>47</v>
      </c>
      <c r="E69" t="s">
        <v>26</v>
      </c>
      <c r="F69">
        <v>80</v>
      </c>
      <c r="G69">
        <v>25</v>
      </c>
      <c r="H69">
        <v>28000</v>
      </c>
    </row>
    <row r="70" spans="1:8" x14ac:dyDescent="0.3">
      <c r="A70" t="s">
        <v>173</v>
      </c>
      <c r="B70" t="s">
        <v>174</v>
      </c>
      <c r="C70" t="s">
        <v>61</v>
      </c>
      <c r="D70" t="s">
        <v>47</v>
      </c>
      <c r="E70" t="s">
        <v>26</v>
      </c>
      <c r="F70">
        <v>35</v>
      </c>
      <c r="G70">
        <v>10</v>
      </c>
      <c r="H70">
        <v>1400</v>
      </c>
    </row>
    <row r="71" spans="1:8" x14ac:dyDescent="0.3">
      <c r="A71" t="s">
        <v>175</v>
      </c>
      <c r="B71" t="s">
        <v>176</v>
      </c>
      <c r="C71" t="s">
        <v>61</v>
      </c>
      <c r="D71" t="s">
        <v>47</v>
      </c>
      <c r="E71" t="s">
        <v>26</v>
      </c>
      <c r="F71">
        <v>1</v>
      </c>
      <c r="G71">
        <v>8</v>
      </c>
      <c r="H71">
        <v>3800</v>
      </c>
    </row>
    <row r="72" spans="1:8" x14ac:dyDescent="0.3">
      <c r="A72" t="s">
        <v>177</v>
      </c>
      <c r="B72" t="s">
        <v>178</v>
      </c>
      <c r="C72" t="s">
        <v>66</v>
      </c>
      <c r="D72" t="s">
        <v>22</v>
      </c>
      <c r="E72" t="s">
        <v>32</v>
      </c>
      <c r="F72">
        <v>16</v>
      </c>
      <c r="G72">
        <v>12</v>
      </c>
      <c r="H72">
        <v>1100</v>
      </c>
    </row>
    <row r="73" spans="1:8" x14ac:dyDescent="0.3">
      <c r="A73" t="s">
        <v>179</v>
      </c>
      <c r="B73" t="s">
        <v>180</v>
      </c>
      <c r="C73" t="s">
        <v>66</v>
      </c>
      <c r="D73" t="s">
        <v>47</v>
      </c>
      <c r="E73" t="s">
        <v>12</v>
      </c>
      <c r="F73">
        <v>10</v>
      </c>
      <c r="G73">
        <v>10</v>
      </c>
      <c r="H73">
        <v>4800</v>
      </c>
    </row>
    <row r="74" spans="1:8" x14ac:dyDescent="0.3">
      <c r="A74" t="s">
        <v>181</v>
      </c>
      <c r="B74" t="s">
        <v>182</v>
      </c>
      <c r="C74" t="s">
        <v>71</v>
      </c>
      <c r="D74" t="s">
        <v>19</v>
      </c>
      <c r="E74" t="s">
        <v>26</v>
      </c>
      <c r="F74">
        <v>78</v>
      </c>
      <c r="G74">
        <v>15</v>
      </c>
      <c r="H74">
        <v>2400</v>
      </c>
    </row>
    <row r="75" spans="1:8" x14ac:dyDescent="0.3">
      <c r="A75" t="s">
        <v>183</v>
      </c>
      <c r="B75" t="s">
        <v>184</v>
      </c>
      <c r="C75" t="s">
        <v>71</v>
      </c>
      <c r="D75" t="s">
        <v>19</v>
      </c>
      <c r="E75" t="s">
        <v>26</v>
      </c>
      <c r="F75">
        <v>47</v>
      </c>
      <c r="G75">
        <v>5</v>
      </c>
      <c r="H75">
        <v>1900</v>
      </c>
    </row>
    <row r="76" spans="1:8" x14ac:dyDescent="0.3">
      <c r="A76" t="s">
        <v>185</v>
      </c>
      <c r="B76" t="s">
        <v>186</v>
      </c>
      <c r="C76" t="s">
        <v>29</v>
      </c>
      <c r="D76" t="s">
        <v>72</v>
      </c>
      <c r="E76" t="s">
        <v>23</v>
      </c>
      <c r="F76">
        <v>43</v>
      </c>
      <c r="G76">
        <v>20</v>
      </c>
      <c r="H76">
        <v>950</v>
      </c>
    </row>
    <row r="77" spans="1:8" x14ac:dyDescent="0.3">
      <c r="A77" t="s">
        <v>187</v>
      </c>
      <c r="B77" t="s">
        <v>188</v>
      </c>
      <c r="C77" t="s">
        <v>80</v>
      </c>
      <c r="D77" t="s">
        <v>22</v>
      </c>
      <c r="E77" t="s">
        <v>32</v>
      </c>
      <c r="F77">
        <v>22</v>
      </c>
      <c r="G77">
        <v>15</v>
      </c>
      <c r="H77">
        <v>3200</v>
      </c>
    </row>
    <row r="78" spans="1:8" x14ac:dyDescent="0.3">
      <c r="A78" t="s">
        <v>189</v>
      </c>
      <c r="B78" t="s">
        <v>190</v>
      </c>
      <c r="C78" t="s">
        <v>80</v>
      </c>
      <c r="D78" t="s">
        <v>16</v>
      </c>
      <c r="E78" t="s">
        <v>12</v>
      </c>
      <c r="F78">
        <v>10</v>
      </c>
      <c r="G78">
        <v>20</v>
      </c>
      <c r="H78">
        <v>35000</v>
      </c>
    </row>
    <row r="79" spans="1:8" x14ac:dyDescent="0.3">
      <c r="A79" t="s">
        <v>191</v>
      </c>
      <c r="B79" t="s">
        <v>192</v>
      </c>
      <c r="C79" t="s">
        <v>80</v>
      </c>
      <c r="D79" t="s">
        <v>19</v>
      </c>
      <c r="E79" t="s">
        <v>12</v>
      </c>
      <c r="F79">
        <v>11</v>
      </c>
      <c r="G79">
        <v>5</v>
      </c>
      <c r="H79">
        <v>2600</v>
      </c>
    </row>
    <row r="80" spans="1:8" x14ac:dyDescent="0.3">
      <c r="A80" t="s">
        <v>193</v>
      </c>
      <c r="B80" t="s">
        <v>194</v>
      </c>
      <c r="C80" t="s">
        <v>80</v>
      </c>
      <c r="D80" t="s">
        <v>11</v>
      </c>
      <c r="E80" t="s">
        <v>26</v>
      </c>
      <c r="F80">
        <v>40</v>
      </c>
      <c r="G80">
        <v>15</v>
      </c>
      <c r="H80">
        <v>12500</v>
      </c>
    </row>
    <row r="81" spans="1:8" x14ac:dyDescent="0.3">
      <c r="A81" t="s">
        <v>195</v>
      </c>
      <c r="B81" t="s">
        <v>196</v>
      </c>
      <c r="C81" t="s">
        <v>15</v>
      </c>
      <c r="D81" t="s">
        <v>11</v>
      </c>
      <c r="E81" t="s">
        <v>23</v>
      </c>
      <c r="F81">
        <v>31</v>
      </c>
      <c r="G81">
        <v>20</v>
      </c>
      <c r="H81">
        <v>7200</v>
      </c>
    </row>
    <row r="82" spans="1:8" x14ac:dyDescent="0.3">
      <c r="A82" t="s">
        <v>197</v>
      </c>
      <c r="B82" t="s">
        <v>198</v>
      </c>
      <c r="C82" t="s">
        <v>92</v>
      </c>
      <c r="D82" t="s">
        <v>11</v>
      </c>
      <c r="E82" t="s">
        <v>23</v>
      </c>
      <c r="F82">
        <v>25</v>
      </c>
      <c r="G82">
        <v>25</v>
      </c>
      <c r="H82">
        <v>4200</v>
      </c>
    </row>
    <row r="83" spans="1:8" x14ac:dyDescent="0.3">
      <c r="A83" t="s">
        <v>199</v>
      </c>
      <c r="B83" t="s">
        <v>200</v>
      </c>
      <c r="C83" t="s">
        <v>92</v>
      </c>
      <c r="D83" t="s">
        <v>47</v>
      </c>
      <c r="E83" t="s">
        <v>32</v>
      </c>
      <c r="F83">
        <v>9</v>
      </c>
      <c r="G83">
        <v>8</v>
      </c>
      <c r="H83">
        <v>6800</v>
      </c>
    </row>
    <row r="84" spans="1:8" x14ac:dyDescent="0.3">
      <c r="A84" t="s">
        <v>201</v>
      </c>
      <c r="B84" t="s">
        <v>202</v>
      </c>
      <c r="C84" t="s">
        <v>97</v>
      </c>
      <c r="D84" t="s">
        <v>118</v>
      </c>
      <c r="E84" t="s">
        <v>12</v>
      </c>
      <c r="F84">
        <v>4</v>
      </c>
      <c r="G84">
        <v>15</v>
      </c>
      <c r="H84">
        <v>6500</v>
      </c>
    </row>
    <row r="85" spans="1:8" x14ac:dyDescent="0.3">
      <c r="A85" t="s">
        <v>203</v>
      </c>
      <c r="B85" t="s">
        <v>204</v>
      </c>
      <c r="C85" t="s">
        <v>97</v>
      </c>
      <c r="D85" t="s">
        <v>22</v>
      </c>
      <c r="E85" t="s">
        <v>26</v>
      </c>
      <c r="F85">
        <v>5</v>
      </c>
      <c r="G85">
        <v>15</v>
      </c>
      <c r="H85">
        <v>9800</v>
      </c>
    </row>
    <row r="86" spans="1:8" x14ac:dyDescent="0.3">
      <c r="A86" t="s">
        <v>205</v>
      </c>
      <c r="B86" t="s">
        <v>206</v>
      </c>
      <c r="C86" t="s">
        <v>97</v>
      </c>
      <c r="D86" t="s">
        <v>118</v>
      </c>
      <c r="E86" t="s">
        <v>32</v>
      </c>
      <c r="F86">
        <v>64</v>
      </c>
      <c r="G86">
        <v>5</v>
      </c>
      <c r="H86">
        <v>5400</v>
      </c>
    </row>
    <row r="87" spans="1:8" x14ac:dyDescent="0.3">
      <c r="A87" t="s">
        <v>207</v>
      </c>
      <c r="B87" t="s">
        <v>208</v>
      </c>
      <c r="C87" t="s">
        <v>104</v>
      </c>
      <c r="D87" t="s">
        <v>47</v>
      </c>
      <c r="E87" t="s">
        <v>32</v>
      </c>
      <c r="F87">
        <v>35</v>
      </c>
      <c r="G87">
        <v>8</v>
      </c>
      <c r="H87">
        <v>180</v>
      </c>
    </row>
    <row r="88" spans="1:8" x14ac:dyDescent="0.3">
      <c r="A88" t="s">
        <v>209</v>
      </c>
      <c r="B88" t="s">
        <v>210</v>
      </c>
      <c r="C88" t="s">
        <v>104</v>
      </c>
      <c r="D88" t="s">
        <v>118</v>
      </c>
      <c r="E88" t="s">
        <v>32</v>
      </c>
      <c r="F88">
        <v>2</v>
      </c>
      <c r="G88">
        <v>8</v>
      </c>
      <c r="H88">
        <v>120</v>
      </c>
    </row>
    <row r="89" spans="1:8" x14ac:dyDescent="0.3">
      <c r="A89" t="s">
        <v>211</v>
      </c>
      <c r="B89" t="s">
        <v>212</v>
      </c>
      <c r="C89" t="s">
        <v>104</v>
      </c>
      <c r="D89" t="s">
        <v>81</v>
      </c>
      <c r="E89" t="s">
        <v>23</v>
      </c>
      <c r="F89">
        <v>23</v>
      </c>
      <c r="G89">
        <v>12</v>
      </c>
      <c r="H89">
        <v>250</v>
      </c>
    </row>
    <row r="90" spans="1:8" x14ac:dyDescent="0.3">
      <c r="A90" t="s">
        <v>213</v>
      </c>
      <c r="B90" t="s">
        <v>214</v>
      </c>
      <c r="C90" t="s">
        <v>104</v>
      </c>
      <c r="D90" t="s">
        <v>11</v>
      </c>
      <c r="E90" t="s">
        <v>23</v>
      </c>
      <c r="F90">
        <v>78</v>
      </c>
      <c r="G90">
        <v>8</v>
      </c>
      <c r="H90">
        <v>320</v>
      </c>
    </row>
    <row r="91" spans="1:8" x14ac:dyDescent="0.3">
      <c r="A91" t="s">
        <v>215</v>
      </c>
      <c r="B91" t="s">
        <v>216</v>
      </c>
      <c r="C91" t="s">
        <v>104</v>
      </c>
      <c r="D91" t="s">
        <v>75</v>
      </c>
      <c r="E91" t="s">
        <v>23</v>
      </c>
      <c r="F91">
        <v>20</v>
      </c>
      <c r="G91">
        <v>20</v>
      </c>
      <c r="H91">
        <v>220</v>
      </c>
    </row>
    <row r="92" spans="1:8" x14ac:dyDescent="0.3">
      <c r="A92" t="s">
        <v>217</v>
      </c>
      <c r="B92" t="s">
        <v>218</v>
      </c>
      <c r="C92" t="s">
        <v>115</v>
      </c>
      <c r="D92" t="s">
        <v>22</v>
      </c>
      <c r="E92" t="s">
        <v>12</v>
      </c>
      <c r="F92">
        <v>18</v>
      </c>
      <c r="G92">
        <v>20</v>
      </c>
      <c r="H92">
        <v>160</v>
      </c>
    </row>
    <row r="93" spans="1:8" x14ac:dyDescent="0.3">
      <c r="A93" t="s">
        <v>219</v>
      </c>
      <c r="B93" t="s">
        <v>220</v>
      </c>
      <c r="C93" t="s">
        <v>115</v>
      </c>
      <c r="D93" t="s">
        <v>118</v>
      </c>
      <c r="E93" t="s">
        <v>32</v>
      </c>
      <c r="F93">
        <v>61</v>
      </c>
      <c r="G93">
        <v>8</v>
      </c>
      <c r="H93">
        <v>190</v>
      </c>
    </row>
    <row r="94" spans="1:8" x14ac:dyDescent="0.3">
      <c r="A94" t="s">
        <v>221</v>
      </c>
      <c r="B94" t="s">
        <v>222</v>
      </c>
      <c r="C94" t="s">
        <v>121</v>
      </c>
      <c r="D94" t="s">
        <v>58</v>
      </c>
      <c r="E94" t="s">
        <v>32</v>
      </c>
      <c r="F94">
        <v>73</v>
      </c>
      <c r="G94">
        <v>12</v>
      </c>
      <c r="H94">
        <v>750</v>
      </c>
    </row>
    <row r="95" spans="1:8" x14ac:dyDescent="0.3">
      <c r="A95" t="s">
        <v>223</v>
      </c>
      <c r="B95" t="s">
        <v>224</v>
      </c>
      <c r="C95" t="s">
        <v>121</v>
      </c>
      <c r="D95" t="s">
        <v>47</v>
      </c>
      <c r="E95" t="s">
        <v>26</v>
      </c>
      <c r="F95">
        <v>3</v>
      </c>
      <c r="G95">
        <v>20</v>
      </c>
      <c r="H95">
        <v>300</v>
      </c>
    </row>
    <row r="96" spans="1:8" x14ac:dyDescent="0.3">
      <c r="A96" t="s">
        <v>225</v>
      </c>
      <c r="B96" t="s">
        <v>226</v>
      </c>
      <c r="C96" t="s">
        <v>66</v>
      </c>
      <c r="D96" t="s">
        <v>58</v>
      </c>
      <c r="E96" t="s">
        <v>26</v>
      </c>
      <c r="F96">
        <v>31</v>
      </c>
      <c r="G96">
        <v>5</v>
      </c>
      <c r="H96">
        <v>180</v>
      </c>
    </row>
    <row r="97" spans="1:8" x14ac:dyDescent="0.3">
      <c r="A97" t="s">
        <v>227</v>
      </c>
      <c r="B97" t="s">
        <v>228</v>
      </c>
      <c r="C97" t="s">
        <v>66</v>
      </c>
      <c r="D97" t="s">
        <v>19</v>
      </c>
      <c r="E97" t="s">
        <v>32</v>
      </c>
      <c r="F97">
        <v>78</v>
      </c>
      <c r="G97">
        <v>12</v>
      </c>
      <c r="H97">
        <v>850</v>
      </c>
    </row>
    <row r="98" spans="1:8" x14ac:dyDescent="0.3">
      <c r="A98" t="s">
        <v>229</v>
      </c>
      <c r="B98" t="s">
        <v>230</v>
      </c>
      <c r="C98" t="s">
        <v>66</v>
      </c>
      <c r="D98" t="s">
        <v>72</v>
      </c>
      <c r="E98" t="s">
        <v>23</v>
      </c>
      <c r="F98">
        <v>61</v>
      </c>
      <c r="G98">
        <v>5</v>
      </c>
      <c r="H98">
        <v>2400</v>
      </c>
    </row>
    <row r="99" spans="1:8" x14ac:dyDescent="0.3">
      <c r="A99" t="s">
        <v>231</v>
      </c>
      <c r="B99" t="s">
        <v>232</v>
      </c>
      <c r="C99" t="s">
        <v>132</v>
      </c>
      <c r="D99" t="s">
        <v>81</v>
      </c>
      <c r="E99" t="s">
        <v>32</v>
      </c>
      <c r="F99">
        <v>1</v>
      </c>
      <c r="G99">
        <v>8</v>
      </c>
      <c r="H99">
        <v>8500</v>
      </c>
    </row>
    <row r="100" spans="1:8" x14ac:dyDescent="0.3">
      <c r="A100" t="s">
        <v>233</v>
      </c>
      <c r="B100" t="s">
        <v>234</v>
      </c>
      <c r="C100" t="s">
        <v>132</v>
      </c>
      <c r="D100" t="s">
        <v>118</v>
      </c>
      <c r="E100" t="s">
        <v>23</v>
      </c>
      <c r="F100">
        <v>12</v>
      </c>
      <c r="G100">
        <v>12</v>
      </c>
      <c r="H100">
        <v>7200</v>
      </c>
    </row>
    <row r="101" spans="1:8" x14ac:dyDescent="0.3">
      <c r="A101" t="s">
        <v>235</v>
      </c>
      <c r="B101" t="s">
        <v>236</v>
      </c>
      <c r="C101" t="s">
        <v>132</v>
      </c>
      <c r="D101" t="s">
        <v>22</v>
      </c>
      <c r="E101" t="s">
        <v>12</v>
      </c>
      <c r="F101">
        <v>18</v>
      </c>
      <c r="G101">
        <v>5</v>
      </c>
      <c r="H101"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3821-D21B-4883-BDE4-B9DCEA2285D5}">
  <dimension ref="A1:J101"/>
  <sheetViews>
    <sheetView workbookViewId="0">
      <selection activeCell="C19" sqref="C19"/>
    </sheetView>
  </sheetViews>
  <sheetFormatPr defaultRowHeight="14.4" x14ac:dyDescent="0.3"/>
  <cols>
    <col min="1" max="1" width="14.33203125" bestFit="1" customWidth="1"/>
    <col min="2" max="2" width="27" bestFit="1" customWidth="1"/>
    <col min="3" max="3" width="19.77734375" bestFit="1" customWidth="1"/>
    <col min="4" max="4" width="18.6640625" bestFit="1" customWidth="1"/>
    <col min="5" max="5" width="17.44140625" bestFit="1" customWidth="1"/>
    <col min="6" max="6" width="13.109375" bestFit="1" customWidth="1"/>
    <col min="7" max="7" width="12.109375" bestFit="1" customWidth="1"/>
    <col min="8" max="8" width="16.33203125" style="4" bestFit="1" customWidth="1"/>
    <col min="9" max="9" width="15.77734375" bestFit="1" customWidth="1"/>
    <col min="10" max="10" width="20.77734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2" t="s">
        <v>237</v>
      </c>
      <c r="J1" s="3" t="s">
        <v>238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37</v>
      </c>
      <c r="G2">
        <v>15</v>
      </c>
      <c r="H2" s="4">
        <v>45000</v>
      </c>
      <c r="I2" t="str">
        <f>IF(F2&lt;=G2,"Low Stock","In Stock")</f>
        <v>In Stock</v>
      </c>
      <c r="J2" s="4">
        <f>F2*H2</f>
        <v>1665000</v>
      </c>
    </row>
    <row r="3" spans="1:10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26</v>
      </c>
      <c r="G3">
        <v>15</v>
      </c>
      <c r="H3" s="4">
        <v>650</v>
      </c>
      <c r="I3" t="str">
        <f t="shared" ref="I3:I66" si="0">IF(F3&lt;=G3,"Low Stock","In Stock")</f>
        <v>In Stock</v>
      </c>
      <c r="J3" s="4">
        <f t="shared" ref="J3:J66" si="1">F3*H3</f>
        <v>16900</v>
      </c>
    </row>
    <row r="4" spans="1:10" x14ac:dyDescent="0.3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48</v>
      </c>
      <c r="G4">
        <v>12</v>
      </c>
      <c r="H4" s="4">
        <v>1200</v>
      </c>
      <c r="I4" t="str">
        <f t="shared" si="0"/>
        <v>In Stock</v>
      </c>
      <c r="J4" s="4">
        <f t="shared" si="1"/>
        <v>57600</v>
      </c>
    </row>
    <row r="5" spans="1:10" x14ac:dyDescent="0.3">
      <c r="A5" t="s">
        <v>20</v>
      </c>
      <c r="B5" t="s">
        <v>21</v>
      </c>
      <c r="C5" t="s">
        <v>10</v>
      </c>
      <c r="D5" t="s">
        <v>22</v>
      </c>
      <c r="E5" t="s">
        <v>23</v>
      </c>
      <c r="F5">
        <v>0</v>
      </c>
      <c r="G5">
        <v>12</v>
      </c>
      <c r="H5" s="4">
        <v>12500</v>
      </c>
      <c r="I5" t="str">
        <f t="shared" si="0"/>
        <v>Low Stock</v>
      </c>
      <c r="J5" s="4">
        <f t="shared" si="1"/>
        <v>0</v>
      </c>
    </row>
    <row r="6" spans="1:10" x14ac:dyDescent="0.3">
      <c r="A6" t="s">
        <v>24</v>
      </c>
      <c r="B6" t="s">
        <v>25</v>
      </c>
      <c r="C6" t="s">
        <v>10</v>
      </c>
      <c r="D6" t="s">
        <v>19</v>
      </c>
      <c r="E6" t="s">
        <v>26</v>
      </c>
      <c r="F6">
        <v>9</v>
      </c>
      <c r="G6">
        <v>5</v>
      </c>
      <c r="H6" s="4">
        <v>9500</v>
      </c>
      <c r="I6" t="str">
        <f t="shared" si="0"/>
        <v>In Stock</v>
      </c>
      <c r="J6" s="4">
        <f t="shared" si="1"/>
        <v>85500</v>
      </c>
    </row>
    <row r="7" spans="1:10" x14ac:dyDescent="0.3">
      <c r="A7" t="s">
        <v>27</v>
      </c>
      <c r="B7" t="s">
        <v>28</v>
      </c>
      <c r="C7" t="s">
        <v>29</v>
      </c>
      <c r="D7" t="s">
        <v>22</v>
      </c>
      <c r="E7" t="s">
        <v>12</v>
      </c>
      <c r="F7">
        <v>44</v>
      </c>
      <c r="G7">
        <v>25</v>
      </c>
      <c r="H7" s="4">
        <v>450</v>
      </c>
      <c r="I7" t="str">
        <f t="shared" si="0"/>
        <v>In Stock</v>
      </c>
      <c r="J7" s="4">
        <f t="shared" si="1"/>
        <v>19800</v>
      </c>
    </row>
    <row r="8" spans="1:10" x14ac:dyDescent="0.3">
      <c r="A8" t="s">
        <v>30</v>
      </c>
      <c r="B8" t="s">
        <v>31</v>
      </c>
      <c r="C8" t="s">
        <v>15</v>
      </c>
      <c r="D8" t="s">
        <v>11</v>
      </c>
      <c r="E8" t="s">
        <v>32</v>
      </c>
      <c r="F8">
        <v>3</v>
      </c>
      <c r="G8">
        <v>12</v>
      </c>
      <c r="H8" s="4">
        <v>1800</v>
      </c>
      <c r="I8" t="str">
        <f t="shared" si="0"/>
        <v>Low Stock</v>
      </c>
      <c r="J8" s="4">
        <f t="shared" si="1"/>
        <v>5400</v>
      </c>
    </row>
    <row r="9" spans="1:10" x14ac:dyDescent="0.3">
      <c r="A9" t="s">
        <v>33</v>
      </c>
      <c r="B9" t="s">
        <v>34</v>
      </c>
      <c r="C9" t="s">
        <v>10</v>
      </c>
      <c r="D9" t="s">
        <v>11</v>
      </c>
      <c r="E9" t="s">
        <v>12</v>
      </c>
      <c r="F9">
        <v>54</v>
      </c>
      <c r="G9">
        <v>25</v>
      </c>
      <c r="H9" s="4">
        <v>2300</v>
      </c>
      <c r="I9" t="str">
        <f t="shared" si="0"/>
        <v>In Stock</v>
      </c>
      <c r="J9" s="4">
        <f t="shared" si="1"/>
        <v>124200</v>
      </c>
    </row>
    <row r="10" spans="1:10" x14ac:dyDescent="0.3">
      <c r="A10" t="s">
        <v>35</v>
      </c>
      <c r="B10" t="s">
        <v>36</v>
      </c>
      <c r="C10" t="s">
        <v>37</v>
      </c>
      <c r="D10" t="s">
        <v>22</v>
      </c>
      <c r="E10" t="s">
        <v>12</v>
      </c>
      <c r="F10">
        <v>20</v>
      </c>
      <c r="G10">
        <v>20</v>
      </c>
      <c r="H10" s="4">
        <v>3200</v>
      </c>
      <c r="I10" t="str">
        <f t="shared" si="0"/>
        <v>Low Stock</v>
      </c>
      <c r="J10" s="4">
        <f t="shared" si="1"/>
        <v>64000</v>
      </c>
    </row>
    <row r="11" spans="1:10" x14ac:dyDescent="0.3">
      <c r="A11" t="s">
        <v>38</v>
      </c>
      <c r="B11" t="s">
        <v>39</v>
      </c>
      <c r="C11" t="s">
        <v>29</v>
      </c>
      <c r="D11" t="s">
        <v>16</v>
      </c>
      <c r="E11" t="s">
        <v>23</v>
      </c>
      <c r="F11">
        <v>63</v>
      </c>
      <c r="G11">
        <v>15</v>
      </c>
      <c r="H11" s="4">
        <v>6500</v>
      </c>
      <c r="I11" t="str">
        <f t="shared" si="0"/>
        <v>In Stock</v>
      </c>
      <c r="J11" s="4">
        <f t="shared" si="1"/>
        <v>409500</v>
      </c>
    </row>
    <row r="12" spans="1:10" x14ac:dyDescent="0.3">
      <c r="A12" t="s">
        <v>40</v>
      </c>
      <c r="B12" t="s">
        <v>41</v>
      </c>
      <c r="C12" t="s">
        <v>29</v>
      </c>
      <c r="D12" t="s">
        <v>16</v>
      </c>
      <c r="E12" t="s">
        <v>32</v>
      </c>
      <c r="F12">
        <v>39</v>
      </c>
      <c r="G12">
        <v>25</v>
      </c>
      <c r="H12" s="4">
        <v>5200</v>
      </c>
      <c r="I12" t="str">
        <f t="shared" si="0"/>
        <v>In Stock</v>
      </c>
      <c r="J12" s="4">
        <f t="shared" si="1"/>
        <v>202800</v>
      </c>
    </row>
    <row r="13" spans="1:10" x14ac:dyDescent="0.3">
      <c r="A13" t="s">
        <v>42</v>
      </c>
      <c r="B13" t="s">
        <v>43</v>
      </c>
      <c r="C13" t="s">
        <v>15</v>
      </c>
      <c r="D13" t="s">
        <v>19</v>
      </c>
      <c r="E13" t="s">
        <v>23</v>
      </c>
      <c r="F13">
        <v>10</v>
      </c>
      <c r="G13">
        <v>15</v>
      </c>
      <c r="H13" s="4">
        <v>900</v>
      </c>
      <c r="I13" t="str">
        <f t="shared" si="0"/>
        <v>Low Stock</v>
      </c>
      <c r="J13" s="4">
        <f t="shared" si="1"/>
        <v>9000</v>
      </c>
    </row>
    <row r="14" spans="1:10" x14ac:dyDescent="0.3">
      <c r="A14" t="s">
        <v>44</v>
      </c>
      <c r="B14" t="s">
        <v>45</v>
      </c>
      <c r="C14" t="s">
        <v>46</v>
      </c>
      <c r="D14" t="s">
        <v>47</v>
      </c>
      <c r="E14" t="s">
        <v>12</v>
      </c>
      <c r="F14">
        <v>40</v>
      </c>
      <c r="G14">
        <v>20</v>
      </c>
      <c r="H14" s="4">
        <v>350</v>
      </c>
      <c r="I14" t="str">
        <f t="shared" si="0"/>
        <v>In Stock</v>
      </c>
      <c r="J14" s="4">
        <f t="shared" si="1"/>
        <v>14000</v>
      </c>
    </row>
    <row r="15" spans="1:10" x14ac:dyDescent="0.3">
      <c r="A15" t="s">
        <v>48</v>
      </c>
      <c r="B15" t="s">
        <v>49</v>
      </c>
      <c r="C15" t="s">
        <v>46</v>
      </c>
      <c r="D15" t="s">
        <v>19</v>
      </c>
      <c r="E15" t="s">
        <v>23</v>
      </c>
      <c r="F15">
        <v>4</v>
      </c>
      <c r="G15">
        <v>12</v>
      </c>
      <c r="H15" s="4">
        <v>250</v>
      </c>
      <c r="I15" t="str">
        <f t="shared" si="0"/>
        <v>Low Stock</v>
      </c>
      <c r="J15" s="4">
        <f t="shared" si="1"/>
        <v>1000</v>
      </c>
    </row>
    <row r="16" spans="1:10" x14ac:dyDescent="0.3">
      <c r="A16" t="s">
        <v>50</v>
      </c>
      <c r="B16" t="s">
        <v>51</v>
      </c>
      <c r="C16" t="s">
        <v>15</v>
      </c>
      <c r="D16" t="s">
        <v>22</v>
      </c>
      <c r="E16" t="s">
        <v>26</v>
      </c>
      <c r="F16">
        <v>42</v>
      </c>
      <c r="G16">
        <v>12</v>
      </c>
      <c r="H16" s="4">
        <v>1600</v>
      </c>
      <c r="I16" t="str">
        <f t="shared" si="0"/>
        <v>In Stock</v>
      </c>
      <c r="J16" s="4">
        <f t="shared" si="1"/>
        <v>67200</v>
      </c>
    </row>
    <row r="17" spans="1:10" x14ac:dyDescent="0.3">
      <c r="A17" t="s">
        <v>52</v>
      </c>
      <c r="B17" t="s">
        <v>53</v>
      </c>
      <c r="C17" t="s">
        <v>10</v>
      </c>
      <c r="D17" t="s">
        <v>22</v>
      </c>
      <c r="E17" t="s">
        <v>32</v>
      </c>
      <c r="F17">
        <v>42</v>
      </c>
      <c r="G17">
        <v>25</v>
      </c>
      <c r="H17" s="4">
        <v>22000</v>
      </c>
      <c r="I17" t="str">
        <f t="shared" si="0"/>
        <v>In Stock</v>
      </c>
      <c r="J17" s="4">
        <f t="shared" si="1"/>
        <v>924000</v>
      </c>
    </row>
    <row r="18" spans="1:10" x14ac:dyDescent="0.3">
      <c r="A18" t="s">
        <v>54</v>
      </c>
      <c r="B18" t="s">
        <v>55</v>
      </c>
      <c r="C18" t="s">
        <v>10</v>
      </c>
      <c r="D18" t="s">
        <v>47</v>
      </c>
      <c r="E18" t="s">
        <v>26</v>
      </c>
      <c r="F18">
        <v>2</v>
      </c>
      <c r="G18">
        <v>5</v>
      </c>
      <c r="H18" s="4">
        <v>18000</v>
      </c>
      <c r="I18" t="str">
        <f t="shared" si="0"/>
        <v>Low Stock</v>
      </c>
      <c r="J18" s="4">
        <f t="shared" si="1"/>
        <v>36000</v>
      </c>
    </row>
    <row r="19" spans="1:10" x14ac:dyDescent="0.3">
      <c r="A19" t="s">
        <v>56</v>
      </c>
      <c r="B19" t="s">
        <v>57</v>
      </c>
      <c r="C19" t="s">
        <v>10</v>
      </c>
      <c r="D19" t="s">
        <v>58</v>
      </c>
      <c r="E19" t="s">
        <v>32</v>
      </c>
      <c r="F19">
        <v>12</v>
      </c>
      <c r="G19">
        <v>12</v>
      </c>
      <c r="H19" s="4">
        <v>28000</v>
      </c>
      <c r="I19" t="str">
        <f t="shared" si="0"/>
        <v>Low Stock</v>
      </c>
      <c r="J19" s="4">
        <f t="shared" si="1"/>
        <v>336000</v>
      </c>
    </row>
    <row r="20" spans="1:10" x14ac:dyDescent="0.3">
      <c r="A20" t="s">
        <v>59</v>
      </c>
      <c r="B20" t="s">
        <v>60</v>
      </c>
      <c r="C20" t="s">
        <v>61</v>
      </c>
      <c r="D20" t="s">
        <v>19</v>
      </c>
      <c r="E20" t="s">
        <v>23</v>
      </c>
      <c r="F20">
        <v>32</v>
      </c>
      <c r="G20">
        <v>15</v>
      </c>
      <c r="H20" s="4">
        <v>1400</v>
      </c>
      <c r="I20" t="str">
        <f t="shared" si="0"/>
        <v>In Stock</v>
      </c>
      <c r="J20" s="4">
        <f t="shared" si="1"/>
        <v>44800</v>
      </c>
    </row>
    <row r="21" spans="1:10" x14ac:dyDescent="0.3">
      <c r="A21" t="s">
        <v>62</v>
      </c>
      <c r="B21" t="s">
        <v>63</v>
      </c>
      <c r="C21" t="s">
        <v>61</v>
      </c>
      <c r="D21" t="s">
        <v>22</v>
      </c>
      <c r="E21" t="s">
        <v>32</v>
      </c>
      <c r="F21">
        <v>23</v>
      </c>
      <c r="G21">
        <v>25</v>
      </c>
      <c r="H21" s="4">
        <v>3800</v>
      </c>
      <c r="I21" t="str">
        <f t="shared" si="0"/>
        <v>Low Stock</v>
      </c>
      <c r="J21" s="4">
        <f t="shared" si="1"/>
        <v>87400</v>
      </c>
    </row>
    <row r="22" spans="1:10" x14ac:dyDescent="0.3">
      <c r="A22" t="s">
        <v>64</v>
      </c>
      <c r="B22" t="s">
        <v>65</v>
      </c>
      <c r="C22" t="s">
        <v>66</v>
      </c>
      <c r="D22" t="s">
        <v>58</v>
      </c>
      <c r="E22" t="s">
        <v>32</v>
      </c>
      <c r="F22">
        <v>3</v>
      </c>
      <c r="G22">
        <v>12</v>
      </c>
      <c r="H22" s="4">
        <v>1100</v>
      </c>
      <c r="I22" t="str">
        <f t="shared" si="0"/>
        <v>Low Stock</v>
      </c>
      <c r="J22" s="4">
        <f t="shared" si="1"/>
        <v>3300</v>
      </c>
    </row>
    <row r="23" spans="1:10" x14ac:dyDescent="0.3">
      <c r="A23" t="s">
        <v>67</v>
      </c>
      <c r="B23" t="s">
        <v>68</v>
      </c>
      <c r="C23" t="s">
        <v>66</v>
      </c>
      <c r="D23" t="s">
        <v>16</v>
      </c>
      <c r="E23" t="s">
        <v>26</v>
      </c>
      <c r="F23">
        <v>79</v>
      </c>
      <c r="G23">
        <v>12</v>
      </c>
      <c r="H23" s="4">
        <v>4800</v>
      </c>
      <c r="I23" t="str">
        <f t="shared" si="0"/>
        <v>In Stock</v>
      </c>
      <c r="J23" s="4">
        <f t="shared" si="1"/>
        <v>379200</v>
      </c>
    </row>
    <row r="24" spans="1:10" x14ac:dyDescent="0.3">
      <c r="A24" t="s">
        <v>69</v>
      </c>
      <c r="B24" t="s">
        <v>70</v>
      </c>
      <c r="C24" t="s">
        <v>71</v>
      </c>
      <c r="D24" t="s">
        <v>72</v>
      </c>
      <c r="E24" t="s">
        <v>32</v>
      </c>
      <c r="F24">
        <v>80</v>
      </c>
      <c r="G24">
        <v>20</v>
      </c>
      <c r="H24" s="4">
        <v>2400</v>
      </c>
      <c r="I24" t="str">
        <f t="shared" si="0"/>
        <v>In Stock</v>
      </c>
      <c r="J24" s="4">
        <f t="shared" si="1"/>
        <v>192000</v>
      </c>
    </row>
    <row r="25" spans="1:10" x14ac:dyDescent="0.3">
      <c r="A25" t="s">
        <v>73</v>
      </c>
      <c r="B25" t="s">
        <v>74</v>
      </c>
      <c r="C25" t="s">
        <v>71</v>
      </c>
      <c r="D25" t="s">
        <v>75</v>
      </c>
      <c r="E25" t="s">
        <v>32</v>
      </c>
      <c r="F25">
        <v>60</v>
      </c>
      <c r="G25">
        <v>25</v>
      </c>
      <c r="H25" s="4">
        <v>1900</v>
      </c>
      <c r="I25" t="str">
        <f t="shared" si="0"/>
        <v>In Stock</v>
      </c>
      <c r="J25" s="4">
        <f t="shared" si="1"/>
        <v>114000</v>
      </c>
    </row>
    <row r="26" spans="1:10" x14ac:dyDescent="0.3">
      <c r="A26" t="s">
        <v>76</v>
      </c>
      <c r="B26" t="s">
        <v>77</v>
      </c>
      <c r="C26" t="s">
        <v>29</v>
      </c>
      <c r="D26" t="s">
        <v>19</v>
      </c>
      <c r="E26" t="s">
        <v>32</v>
      </c>
      <c r="F26">
        <v>17</v>
      </c>
      <c r="G26">
        <v>15</v>
      </c>
      <c r="H26" s="4">
        <v>950</v>
      </c>
      <c r="I26" t="str">
        <f t="shared" si="0"/>
        <v>In Stock</v>
      </c>
      <c r="J26" s="4">
        <f t="shared" si="1"/>
        <v>16150</v>
      </c>
    </row>
    <row r="27" spans="1:10" x14ac:dyDescent="0.3">
      <c r="A27" t="s">
        <v>78</v>
      </c>
      <c r="B27" t="s">
        <v>79</v>
      </c>
      <c r="C27" t="s">
        <v>80</v>
      </c>
      <c r="D27" t="s">
        <v>81</v>
      </c>
      <c r="E27" t="s">
        <v>23</v>
      </c>
      <c r="F27">
        <v>41</v>
      </c>
      <c r="G27">
        <v>15</v>
      </c>
      <c r="H27" s="4">
        <v>3200</v>
      </c>
      <c r="I27" t="str">
        <f t="shared" si="0"/>
        <v>In Stock</v>
      </c>
      <c r="J27" s="4">
        <f t="shared" si="1"/>
        <v>131200</v>
      </c>
    </row>
    <row r="28" spans="1:10" x14ac:dyDescent="0.3">
      <c r="A28" t="s">
        <v>82</v>
      </c>
      <c r="B28" t="s">
        <v>83</v>
      </c>
      <c r="C28" t="s">
        <v>80</v>
      </c>
      <c r="D28" t="s">
        <v>22</v>
      </c>
      <c r="E28" t="s">
        <v>12</v>
      </c>
      <c r="F28">
        <v>5</v>
      </c>
      <c r="G28">
        <v>5</v>
      </c>
      <c r="H28" s="4">
        <v>35000</v>
      </c>
      <c r="I28" t="str">
        <f t="shared" si="0"/>
        <v>Low Stock</v>
      </c>
      <c r="J28" s="4">
        <f t="shared" si="1"/>
        <v>175000</v>
      </c>
    </row>
    <row r="29" spans="1:10" x14ac:dyDescent="0.3">
      <c r="A29" t="s">
        <v>84</v>
      </c>
      <c r="B29" t="s">
        <v>85</v>
      </c>
      <c r="C29" t="s">
        <v>80</v>
      </c>
      <c r="D29" t="s">
        <v>16</v>
      </c>
      <c r="E29" t="s">
        <v>26</v>
      </c>
      <c r="F29">
        <v>14</v>
      </c>
      <c r="G29">
        <v>15</v>
      </c>
      <c r="H29" s="4">
        <v>2600</v>
      </c>
      <c r="I29" t="str">
        <f t="shared" si="0"/>
        <v>Low Stock</v>
      </c>
      <c r="J29" s="4">
        <f t="shared" si="1"/>
        <v>36400</v>
      </c>
    </row>
    <row r="30" spans="1:10" x14ac:dyDescent="0.3">
      <c r="A30" t="s">
        <v>86</v>
      </c>
      <c r="B30" t="s">
        <v>87</v>
      </c>
      <c r="C30" t="s">
        <v>80</v>
      </c>
      <c r="D30" t="s">
        <v>81</v>
      </c>
      <c r="E30" t="s">
        <v>26</v>
      </c>
      <c r="F30">
        <v>68</v>
      </c>
      <c r="G30">
        <v>20</v>
      </c>
      <c r="H30" s="4">
        <v>12500</v>
      </c>
      <c r="I30" t="str">
        <f t="shared" si="0"/>
        <v>In Stock</v>
      </c>
      <c r="J30" s="4">
        <f t="shared" si="1"/>
        <v>850000</v>
      </c>
    </row>
    <row r="31" spans="1:10" x14ac:dyDescent="0.3">
      <c r="A31" t="s">
        <v>88</v>
      </c>
      <c r="B31" t="s">
        <v>89</v>
      </c>
      <c r="C31" t="s">
        <v>15</v>
      </c>
      <c r="D31" t="s">
        <v>19</v>
      </c>
      <c r="E31" t="s">
        <v>26</v>
      </c>
      <c r="F31">
        <v>0</v>
      </c>
      <c r="G31">
        <v>20</v>
      </c>
      <c r="H31" s="4">
        <v>7200</v>
      </c>
      <c r="I31" t="str">
        <f t="shared" si="0"/>
        <v>Low Stock</v>
      </c>
      <c r="J31" s="4">
        <f t="shared" si="1"/>
        <v>0</v>
      </c>
    </row>
    <row r="32" spans="1:10" x14ac:dyDescent="0.3">
      <c r="A32" t="s">
        <v>90</v>
      </c>
      <c r="B32" t="s">
        <v>91</v>
      </c>
      <c r="C32" t="s">
        <v>92</v>
      </c>
      <c r="D32" t="s">
        <v>16</v>
      </c>
      <c r="E32" t="s">
        <v>26</v>
      </c>
      <c r="F32">
        <v>47</v>
      </c>
      <c r="G32">
        <v>15</v>
      </c>
      <c r="H32" s="4">
        <v>4200</v>
      </c>
      <c r="I32" t="str">
        <f t="shared" si="0"/>
        <v>In Stock</v>
      </c>
      <c r="J32" s="4">
        <f t="shared" si="1"/>
        <v>197400</v>
      </c>
    </row>
    <row r="33" spans="1:10" x14ac:dyDescent="0.3">
      <c r="A33" t="s">
        <v>93</v>
      </c>
      <c r="B33" t="s">
        <v>94</v>
      </c>
      <c r="C33" t="s">
        <v>92</v>
      </c>
      <c r="D33" t="s">
        <v>19</v>
      </c>
      <c r="E33" t="s">
        <v>23</v>
      </c>
      <c r="F33">
        <v>66</v>
      </c>
      <c r="G33">
        <v>25</v>
      </c>
      <c r="H33" s="4">
        <v>6800</v>
      </c>
      <c r="I33" t="str">
        <f t="shared" si="0"/>
        <v>In Stock</v>
      </c>
      <c r="J33" s="4">
        <f t="shared" si="1"/>
        <v>448800</v>
      </c>
    </row>
    <row r="34" spans="1:10" x14ac:dyDescent="0.3">
      <c r="A34" t="s">
        <v>95</v>
      </c>
      <c r="B34" t="s">
        <v>96</v>
      </c>
      <c r="C34" t="s">
        <v>97</v>
      </c>
      <c r="D34" t="s">
        <v>22</v>
      </c>
      <c r="E34" t="s">
        <v>12</v>
      </c>
      <c r="F34">
        <v>49</v>
      </c>
      <c r="G34">
        <v>25</v>
      </c>
      <c r="H34" s="4">
        <v>6500</v>
      </c>
      <c r="I34" t="str">
        <f t="shared" si="0"/>
        <v>In Stock</v>
      </c>
      <c r="J34" s="4">
        <f t="shared" si="1"/>
        <v>318500</v>
      </c>
    </row>
    <row r="35" spans="1:10" x14ac:dyDescent="0.3">
      <c r="A35" t="s">
        <v>98</v>
      </c>
      <c r="B35" t="s">
        <v>99</v>
      </c>
      <c r="C35" t="s">
        <v>97</v>
      </c>
      <c r="D35" t="s">
        <v>81</v>
      </c>
      <c r="E35" t="s">
        <v>23</v>
      </c>
      <c r="F35">
        <v>42</v>
      </c>
      <c r="G35">
        <v>20</v>
      </c>
      <c r="H35" s="4">
        <v>9800</v>
      </c>
      <c r="I35" t="str">
        <f t="shared" si="0"/>
        <v>In Stock</v>
      </c>
      <c r="J35" s="4">
        <f t="shared" si="1"/>
        <v>411600</v>
      </c>
    </row>
    <row r="36" spans="1:10" x14ac:dyDescent="0.3">
      <c r="A36" t="s">
        <v>100</v>
      </c>
      <c r="B36" t="s">
        <v>101</v>
      </c>
      <c r="C36" t="s">
        <v>97</v>
      </c>
      <c r="D36" t="s">
        <v>81</v>
      </c>
      <c r="E36" t="s">
        <v>23</v>
      </c>
      <c r="F36">
        <v>7</v>
      </c>
      <c r="G36">
        <v>12</v>
      </c>
      <c r="H36" s="4">
        <v>5400</v>
      </c>
      <c r="I36" t="str">
        <f t="shared" si="0"/>
        <v>Low Stock</v>
      </c>
      <c r="J36" s="4">
        <f t="shared" si="1"/>
        <v>37800</v>
      </c>
    </row>
    <row r="37" spans="1:10" x14ac:dyDescent="0.3">
      <c r="A37" t="s">
        <v>102</v>
      </c>
      <c r="B37" t="s">
        <v>103</v>
      </c>
      <c r="C37" t="s">
        <v>104</v>
      </c>
      <c r="D37" t="s">
        <v>72</v>
      </c>
      <c r="E37" t="s">
        <v>23</v>
      </c>
      <c r="F37">
        <v>12</v>
      </c>
      <c r="G37">
        <v>12</v>
      </c>
      <c r="H37" s="4">
        <v>180</v>
      </c>
      <c r="I37" t="str">
        <f t="shared" si="0"/>
        <v>Low Stock</v>
      </c>
      <c r="J37" s="4">
        <f t="shared" si="1"/>
        <v>2160</v>
      </c>
    </row>
    <row r="38" spans="1:10" x14ac:dyDescent="0.3">
      <c r="A38" t="s">
        <v>105</v>
      </c>
      <c r="B38" t="s">
        <v>106</v>
      </c>
      <c r="C38" t="s">
        <v>104</v>
      </c>
      <c r="D38" t="s">
        <v>16</v>
      </c>
      <c r="E38" t="s">
        <v>12</v>
      </c>
      <c r="F38">
        <v>37</v>
      </c>
      <c r="G38">
        <v>25</v>
      </c>
      <c r="H38" s="4">
        <v>120</v>
      </c>
      <c r="I38" t="str">
        <f t="shared" si="0"/>
        <v>In Stock</v>
      </c>
      <c r="J38" s="4">
        <f t="shared" si="1"/>
        <v>4440</v>
      </c>
    </row>
    <row r="39" spans="1:10" x14ac:dyDescent="0.3">
      <c r="A39" t="s">
        <v>107</v>
      </c>
      <c r="B39" t="s">
        <v>108</v>
      </c>
      <c r="C39" t="s">
        <v>104</v>
      </c>
      <c r="D39" t="s">
        <v>81</v>
      </c>
      <c r="E39" t="s">
        <v>26</v>
      </c>
      <c r="F39">
        <v>43</v>
      </c>
      <c r="G39">
        <v>10</v>
      </c>
      <c r="H39" s="4">
        <v>250</v>
      </c>
      <c r="I39" t="str">
        <f t="shared" si="0"/>
        <v>In Stock</v>
      </c>
      <c r="J39" s="4">
        <f t="shared" si="1"/>
        <v>10750</v>
      </c>
    </row>
    <row r="40" spans="1:10" x14ac:dyDescent="0.3">
      <c r="A40" t="s">
        <v>109</v>
      </c>
      <c r="B40" t="s">
        <v>110</v>
      </c>
      <c r="C40" t="s">
        <v>104</v>
      </c>
      <c r="D40" t="s">
        <v>47</v>
      </c>
      <c r="E40" t="s">
        <v>32</v>
      </c>
      <c r="F40">
        <v>57</v>
      </c>
      <c r="G40">
        <v>25</v>
      </c>
      <c r="H40" s="4">
        <v>320</v>
      </c>
      <c r="I40" t="str">
        <f t="shared" si="0"/>
        <v>In Stock</v>
      </c>
      <c r="J40" s="4">
        <f t="shared" si="1"/>
        <v>18240</v>
      </c>
    </row>
    <row r="41" spans="1:10" x14ac:dyDescent="0.3">
      <c r="A41" t="s">
        <v>111</v>
      </c>
      <c r="B41" t="s">
        <v>112</v>
      </c>
      <c r="C41" t="s">
        <v>104</v>
      </c>
      <c r="D41" t="s">
        <v>11</v>
      </c>
      <c r="E41" t="s">
        <v>23</v>
      </c>
      <c r="F41">
        <v>61</v>
      </c>
      <c r="G41">
        <v>12</v>
      </c>
      <c r="H41" s="4">
        <v>220</v>
      </c>
      <c r="I41" t="str">
        <f t="shared" si="0"/>
        <v>In Stock</v>
      </c>
      <c r="J41" s="4">
        <f t="shared" si="1"/>
        <v>13420</v>
      </c>
    </row>
    <row r="42" spans="1:10" x14ac:dyDescent="0.3">
      <c r="A42" t="s">
        <v>113</v>
      </c>
      <c r="B42" t="s">
        <v>114</v>
      </c>
      <c r="C42" t="s">
        <v>115</v>
      </c>
      <c r="D42" t="s">
        <v>75</v>
      </c>
      <c r="E42" t="s">
        <v>26</v>
      </c>
      <c r="F42">
        <v>31</v>
      </c>
      <c r="G42">
        <v>5</v>
      </c>
      <c r="H42" s="4">
        <v>160</v>
      </c>
      <c r="I42" t="str">
        <f t="shared" si="0"/>
        <v>In Stock</v>
      </c>
      <c r="J42" s="4">
        <f t="shared" si="1"/>
        <v>4960</v>
      </c>
    </row>
    <row r="43" spans="1:10" x14ac:dyDescent="0.3">
      <c r="A43" t="s">
        <v>116</v>
      </c>
      <c r="B43" t="s">
        <v>117</v>
      </c>
      <c r="C43" t="s">
        <v>115</v>
      </c>
      <c r="D43" t="s">
        <v>118</v>
      </c>
      <c r="E43" t="s">
        <v>26</v>
      </c>
      <c r="F43">
        <v>3</v>
      </c>
      <c r="G43">
        <v>12</v>
      </c>
      <c r="H43" s="4">
        <v>190</v>
      </c>
      <c r="I43" t="str">
        <f t="shared" si="0"/>
        <v>Low Stock</v>
      </c>
      <c r="J43" s="4">
        <f t="shared" si="1"/>
        <v>570</v>
      </c>
    </row>
    <row r="44" spans="1:10" x14ac:dyDescent="0.3">
      <c r="A44" t="s">
        <v>119</v>
      </c>
      <c r="B44" t="s">
        <v>120</v>
      </c>
      <c r="C44" t="s">
        <v>121</v>
      </c>
      <c r="D44" t="s">
        <v>47</v>
      </c>
      <c r="E44" t="s">
        <v>26</v>
      </c>
      <c r="F44">
        <v>12</v>
      </c>
      <c r="G44">
        <v>20</v>
      </c>
      <c r="H44" s="4">
        <v>750</v>
      </c>
      <c r="I44" t="str">
        <f t="shared" si="0"/>
        <v>Low Stock</v>
      </c>
      <c r="J44" s="4">
        <f t="shared" si="1"/>
        <v>9000</v>
      </c>
    </row>
    <row r="45" spans="1:10" x14ac:dyDescent="0.3">
      <c r="A45" t="s">
        <v>122</v>
      </c>
      <c r="B45" t="s">
        <v>123</v>
      </c>
      <c r="C45" t="s">
        <v>121</v>
      </c>
      <c r="D45" t="s">
        <v>19</v>
      </c>
      <c r="E45" t="s">
        <v>32</v>
      </c>
      <c r="F45">
        <v>22</v>
      </c>
      <c r="G45">
        <v>5</v>
      </c>
      <c r="H45" s="4">
        <v>300</v>
      </c>
      <c r="I45" t="str">
        <f t="shared" si="0"/>
        <v>In Stock</v>
      </c>
      <c r="J45" s="4">
        <f t="shared" si="1"/>
        <v>6600</v>
      </c>
    </row>
    <row r="46" spans="1:10" x14ac:dyDescent="0.3">
      <c r="A46" t="s">
        <v>124</v>
      </c>
      <c r="B46" t="s">
        <v>125</v>
      </c>
      <c r="C46" t="s">
        <v>66</v>
      </c>
      <c r="D46" t="s">
        <v>19</v>
      </c>
      <c r="E46" t="s">
        <v>32</v>
      </c>
      <c r="F46">
        <v>5</v>
      </c>
      <c r="G46">
        <v>5</v>
      </c>
      <c r="H46" s="4">
        <v>180</v>
      </c>
      <c r="I46" t="str">
        <f t="shared" si="0"/>
        <v>Low Stock</v>
      </c>
      <c r="J46" s="4">
        <f t="shared" si="1"/>
        <v>900</v>
      </c>
    </row>
    <row r="47" spans="1:10" x14ac:dyDescent="0.3">
      <c r="A47" t="s">
        <v>126</v>
      </c>
      <c r="B47" t="s">
        <v>127</v>
      </c>
      <c r="C47" t="s">
        <v>66</v>
      </c>
      <c r="D47" t="s">
        <v>16</v>
      </c>
      <c r="E47" t="s">
        <v>23</v>
      </c>
      <c r="F47">
        <v>68</v>
      </c>
      <c r="G47">
        <v>15</v>
      </c>
      <c r="H47" s="4">
        <v>850</v>
      </c>
      <c r="I47" t="str">
        <f t="shared" si="0"/>
        <v>In Stock</v>
      </c>
      <c r="J47" s="4">
        <f t="shared" si="1"/>
        <v>57800</v>
      </c>
    </row>
    <row r="48" spans="1:10" x14ac:dyDescent="0.3">
      <c r="A48" t="s">
        <v>128</v>
      </c>
      <c r="B48" t="s">
        <v>129</v>
      </c>
      <c r="C48" t="s">
        <v>66</v>
      </c>
      <c r="D48" t="s">
        <v>19</v>
      </c>
      <c r="E48" t="s">
        <v>23</v>
      </c>
      <c r="F48">
        <v>44</v>
      </c>
      <c r="G48">
        <v>15</v>
      </c>
      <c r="H48" s="4">
        <v>2400</v>
      </c>
      <c r="I48" t="str">
        <f t="shared" si="0"/>
        <v>In Stock</v>
      </c>
      <c r="J48" s="4">
        <f t="shared" si="1"/>
        <v>105600</v>
      </c>
    </row>
    <row r="49" spans="1:10" x14ac:dyDescent="0.3">
      <c r="A49" t="s">
        <v>130</v>
      </c>
      <c r="B49" t="s">
        <v>131</v>
      </c>
      <c r="C49" t="s">
        <v>132</v>
      </c>
      <c r="D49" t="s">
        <v>11</v>
      </c>
      <c r="E49" t="s">
        <v>23</v>
      </c>
      <c r="F49">
        <v>79</v>
      </c>
      <c r="G49">
        <v>8</v>
      </c>
      <c r="H49" s="4">
        <v>8500</v>
      </c>
      <c r="I49" t="str">
        <f t="shared" si="0"/>
        <v>In Stock</v>
      </c>
      <c r="J49" s="4">
        <f t="shared" si="1"/>
        <v>671500</v>
      </c>
    </row>
    <row r="50" spans="1:10" x14ac:dyDescent="0.3">
      <c r="A50" t="s">
        <v>133</v>
      </c>
      <c r="B50" t="s">
        <v>134</v>
      </c>
      <c r="C50" t="s">
        <v>132</v>
      </c>
      <c r="D50" t="s">
        <v>11</v>
      </c>
      <c r="E50" t="s">
        <v>23</v>
      </c>
      <c r="F50">
        <v>1</v>
      </c>
      <c r="G50">
        <v>8</v>
      </c>
      <c r="H50" s="4">
        <v>7200</v>
      </c>
      <c r="I50" t="str">
        <f t="shared" si="0"/>
        <v>Low Stock</v>
      </c>
      <c r="J50" s="4">
        <f t="shared" si="1"/>
        <v>7200</v>
      </c>
    </row>
    <row r="51" spans="1:10" x14ac:dyDescent="0.3">
      <c r="A51" t="s">
        <v>135</v>
      </c>
      <c r="B51" t="s">
        <v>136</v>
      </c>
      <c r="C51" t="s">
        <v>132</v>
      </c>
      <c r="D51" t="s">
        <v>19</v>
      </c>
      <c r="E51" t="s">
        <v>23</v>
      </c>
      <c r="F51">
        <v>64</v>
      </c>
      <c r="G51">
        <v>10</v>
      </c>
      <c r="H51" s="4">
        <v>3600</v>
      </c>
      <c r="I51" t="str">
        <f t="shared" si="0"/>
        <v>In Stock</v>
      </c>
      <c r="J51" s="4">
        <f t="shared" si="1"/>
        <v>230400</v>
      </c>
    </row>
    <row r="52" spans="1:10" x14ac:dyDescent="0.3">
      <c r="A52" t="s">
        <v>137</v>
      </c>
      <c r="B52" t="s">
        <v>138</v>
      </c>
      <c r="C52" t="s">
        <v>10</v>
      </c>
      <c r="D52" t="s">
        <v>72</v>
      </c>
      <c r="E52" t="s">
        <v>23</v>
      </c>
      <c r="F52">
        <v>38</v>
      </c>
      <c r="G52">
        <v>8</v>
      </c>
      <c r="H52" s="4">
        <v>45000</v>
      </c>
      <c r="I52" t="str">
        <f t="shared" si="0"/>
        <v>In Stock</v>
      </c>
      <c r="J52" s="4">
        <f t="shared" si="1"/>
        <v>1710000</v>
      </c>
    </row>
    <row r="53" spans="1:10" x14ac:dyDescent="0.3">
      <c r="A53" t="s">
        <v>139</v>
      </c>
      <c r="B53" t="s">
        <v>140</v>
      </c>
      <c r="C53" t="s">
        <v>15</v>
      </c>
      <c r="D53" t="s">
        <v>72</v>
      </c>
      <c r="E53" t="s">
        <v>32</v>
      </c>
      <c r="F53">
        <v>3</v>
      </c>
      <c r="G53">
        <v>10</v>
      </c>
      <c r="H53" s="4">
        <v>650</v>
      </c>
      <c r="I53" t="str">
        <f t="shared" si="0"/>
        <v>Low Stock</v>
      </c>
      <c r="J53" s="4">
        <f t="shared" si="1"/>
        <v>1950</v>
      </c>
    </row>
    <row r="54" spans="1:10" x14ac:dyDescent="0.3">
      <c r="A54" t="s">
        <v>141</v>
      </c>
      <c r="B54" t="s">
        <v>142</v>
      </c>
      <c r="C54" t="s">
        <v>15</v>
      </c>
      <c r="D54" t="s">
        <v>16</v>
      </c>
      <c r="E54" t="s">
        <v>12</v>
      </c>
      <c r="F54">
        <v>51</v>
      </c>
      <c r="G54">
        <v>5</v>
      </c>
      <c r="H54" s="4">
        <v>1200</v>
      </c>
      <c r="I54" t="str">
        <f t="shared" si="0"/>
        <v>In Stock</v>
      </c>
      <c r="J54" s="4">
        <f t="shared" si="1"/>
        <v>61200</v>
      </c>
    </row>
    <row r="55" spans="1:10" x14ac:dyDescent="0.3">
      <c r="A55" t="s">
        <v>143</v>
      </c>
      <c r="B55" t="s">
        <v>144</v>
      </c>
      <c r="C55" t="s">
        <v>10</v>
      </c>
      <c r="D55" t="s">
        <v>47</v>
      </c>
      <c r="E55" t="s">
        <v>26</v>
      </c>
      <c r="F55">
        <v>12</v>
      </c>
      <c r="G55">
        <v>12</v>
      </c>
      <c r="H55" s="4">
        <v>12500</v>
      </c>
      <c r="I55" t="str">
        <f t="shared" si="0"/>
        <v>Low Stock</v>
      </c>
      <c r="J55" s="4">
        <f t="shared" si="1"/>
        <v>150000</v>
      </c>
    </row>
    <row r="56" spans="1:10" x14ac:dyDescent="0.3">
      <c r="A56" t="s">
        <v>145</v>
      </c>
      <c r="B56" t="s">
        <v>146</v>
      </c>
      <c r="C56" t="s">
        <v>10</v>
      </c>
      <c r="D56" t="s">
        <v>22</v>
      </c>
      <c r="E56" t="s">
        <v>12</v>
      </c>
      <c r="F56">
        <v>59</v>
      </c>
      <c r="G56">
        <v>20</v>
      </c>
      <c r="H56" s="4">
        <v>9500</v>
      </c>
      <c r="I56" t="str">
        <f t="shared" si="0"/>
        <v>In Stock</v>
      </c>
      <c r="J56" s="4">
        <f t="shared" si="1"/>
        <v>560500</v>
      </c>
    </row>
    <row r="57" spans="1:10" x14ac:dyDescent="0.3">
      <c r="A57" t="s">
        <v>147</v>
      </c>
      <c r="B57" t="s">
        <v>148</v>
      </c>
      <c r="C57" t="s">
        <v>29</v>
      </c>
      <c r="D57" t="s">
        <v>81</v>
      </c>
      <c r="E57" t="s">
        <v>26</v>
      </c>
      <c r="F57">
        <v>3</v>
      </c>
      <c r="G57">
        <v>12</v>
      </c>
      <c r="H57" s="4">
        <v>450</v>
      </c>
      <c r="I57" t="str">
        <f t="shared" si="0"/>
        <v>Low Stock</v>
      </c>
      <c r="J57" s="4">
        <f t="shared" si="1"/>
        <v>1350</v>
      </c>
    </row>
    <row r="58" spans="1:10" x14ac:dyDescent="0.3">
      <c r="A58" t="s">
        <v>149</v>
      </c>
      <c r="B58" t="s">
        <v>150</v>
      </c>
      <c r="C58" t="s">
        <v>15</v>
      </c>
      <c r="D58" t="s">
        <v>11</v>
      </c>
      <c r="E58" t="s">
        <v>12</v>
      </c>
      <c r="F58">
        <v>26</v>
      </c>
      <c r="G58">
        <v>15</v>
      </c>
      <c r="H58" s="4">
        <v>1800</v>
      </c>
      <c r="I58" t="str">
        <f t="shared" si="0"/>
        <v>In Stock</v>
      </c>
      <c r="J58" s="4">
        <f t="shared" si="1"/>
        <v>46800</v>
      </c>
    </row>
    <row r="59" spans="1:10" x14ac:dyDescent="0.3">
      <c r="A59" t="s">
        <v>151</v>
      </c>
      <c r="B59" t="s">
        <v>152</v>
      </c>
      <c r="C59" t="s">
        <v>10</v>
      </c>
      <c r="D59" t="s">
        <v>58</v>
      </c>
      <c r="E59" t="s">
        <v>32</v>
      </c>
      <c r="F59">
        <v>14</v>
      </c>
      <c r="G59">
        <v>8</v>
      </c>
      <c r="H59" s="4">
        <v>2300</v>
      </c>
      <c r="I59" t="str">
        <f t="shared" si="0"/>
        <v>In Stock</v>
      </c>
      <c r="J59" s="4">
        <f t="shared" si="1"/>
        <v>32200</v>
      </c>
    </row>
    <row r="60" spans="1:10" x14ac:dyDescent="0.3">
      <c r="A60" t="s">
        <v>153</v>
      </c>
      <c r="B60" t="s">
        <v>154</v>
      </c>
      <c r="C60" t="s">
        <v>37</v>
      </c>
      <c r="D60" t="s">
        <v>47</v>
      </c>
      <c r="E60" t="s">
        <v>32</v>
      </c>
      <c r="F60">
        <v>70</v>
      </c>
      <c r="G60">
        <v>5</v>
      </c>
      <c r="H60" s="4">
        <v>3200</v>
      </c>
      <c r="I60" t="str">
        <f t="shared" si="0"/>
        <v>In Stock</v>
      </c>
      <c r="J60" s="4">
        <f t="shared" si="1"/>
        <v>224000</v>
      </c>
    </row>
    <row r="61" spans="1:10" x14ac:dyDescent="0.3">
      <c r="A61" t="s">
        <v>155</v>
      </c>
      <c r="B61" t="s">
        <v>156</v>
      </c>
      <c r="C61" t="s">
        <v>29</v>
      </c>
      <c r="D61" t="s">
        <v>58</v>
      </c>
      <c r="E61" t="s">
        <v>32</v>
      </c>
      <c r="F61">
        <v>65</v>
      </c>
      <c r="G61">
        <v>8</v>
      </c>
      <c r="H61" s="4">
        <v>6500</v>
      </c>
      <c r="I61" t="str">
        <f t="shared" si="0"/>
        <v>In Stock</v>
      </c>
      <c r="J61" s="4">
        <f t="shared" si="1"/>
        <v>422500</v>
      </c>
    </row>
    <row r="62" spans="1:10" x14ac:dyDescent="0.3">
      <c r="A62" t="s">
        <v>157</v>
      </c>
      <c r="B62" t="s">
        <v>158</v>
      </c>
      <c r="C62" t="s">
        <v>29</v>
      </c>
      <c r="D62" t="s">
        <v>58</v>
      </c>
      <c r="E62" t="s">
        <v>26</v>
      </c>
      <c r="F62">
        <v>61</v>
      </c>
      <c r="G62">
        <v>20</v>
      </c>
      <c r="H62" s="4">
        <v>5200</v>
      </c>
      <c r="I62" t="str">
        <f t="shared" si="0"/>
        <v>In Stock</v>
      </c>
      <c r="J62" s="4">
        <f t="shared" si="1"/>
        <v>317200</v>
      </c>
    </row>
    <row r="63" spans="1:10" x14ac:dyDescent="0.3">
      <c r="A63" t="s">
        <v>159</v>
      </c>
      <c r="B63" t="s">
        <v>160</v>
      </c>
      <c r="C63" t="s">
        <v>15</v>
      </c>
      <c r="D63" t="s">
        <v>47</v>
      </c>
      <c r="E63" t="s">
        <v>23</v>
      </c>
      <c r="F63">
        <v>24</v>
      </c>
      <c r="G63">
        <v>5</v>
      </c>
      <c r="H63" s="4">
        <v>900</v>
      </c>
      <c r="I63" t="str">
        <f t="shared" si="0"/>
        <v>In Stock</v>
      </c>
      <c r="J63" s="4">
        <f t="shared" si="1"/>
        <v>21600</v>
      </c>
    </row>
    <row r="64" spans="1:10" x14ac:dyDescent="0.3">
      <c r="A64" t="s">
        <v>161</v>
      </c>
      <c r="B64" t="s">
        <v>162</v>
      </c>
      <c r="C64" t="s">
        <v>46</v>
      </c>
      <c r="D64" t="s">
        <v>81</v>
      </c>
      <c r="E64" t="s">
        <v>12</v>
      </c>
      <c r="F64">
        <v>4</v>
      </c>
      <c r="G64">
        <v>5</v>
      </c>
      <c r="H64" s="4">
        <v>350</v>
      </c>
      <c r="I64" t="str">
        <f t="shared" si="0"/>
        <v>Low Stock</v>
      </c>
      <c r="J64" s="4">
        <f t="shared" si="1"/>
        <v>1400</v>
      </c>
    </row>
    <row r="65" spans="1:10" x14ac:dyDescent="0.3">
      <c r="A65" t="s">
        <v>163</v>
      </c>
      <c r="B65" t="s">
        <v>164</v>
      </c>
      <c r="C65" t="s">
        <v>46</v>
      </c>
      <c r="D65" t="s">
        <v>19</v>
      </c>
      <c r="E65" t="s">
        <v>32</v>
      </c>
      <c r="F65">
        <v>40</v>
      </c>
      <c r="G65">
        <v>5</v>
      </c>
      <c r="H65" s="4">
        <v>250</v>
      </c>
      <c r="I65" t="str">
        <f t="shared" si="0"/>
        <v>In Stock</v>
      </c>
      <c r="J65" s="4">
        <f t="shared" si="1"/>
        <v>10000</v>
      </c>
    </row>
    <row r="66" spans="1:10" x14ac:dyDescent="0.3">
      <c r="A66" t="s">
        <v>165</v>
      </c>
      <c r="B66" t="s">
        <v>166</v>
      </c>
      <c r="C66" t="s">
        <v>15</v>
      </c>
      <c r="D66" t="s">
        <v>58</v>
      </c>
      <c r="E66" t="s">
        <v>32</v>
      </c>
      <c r="F66">
        <v>76</v>
      </c>
      <c r="G66">
        <v>5</v>
      </c>
      <c r="H66" s="4">
        <v>1600</v>
      </c>
      <c r="I66" t="str">
        <f t="shared" si="0"/>
        <v>In Stock</v>
      </c>
      <c r="J66" s="4">
        <f t="shared" si="1"/>
        <v>121600</v>
      </c>
    </row>
    <row r="67" spans="1:10" x14ac:dyDescent="0.3">
      <c r="A67" t="s">
        <v>167</v>
      </c>
      <c r="B67" t="s">
        <v>168</v>
      </c>
      <c r="C67" t="s">
        <v>10</v>
      </c>
      <c r="D67" t="s">
        <v>72</v>
      </c>
      <c r="E67" t="s">
        <v>23</v>
      </c>
      <c r="F67">
        <v>68</v>
      </c>
      <c r="G67">
        <v>20</v>
      </c>
      <c r="H67" s="4">
        <v>22000</v>
      </c>
      <c r="I67" t="str">
        <f t="shared" ref="I67:I101" si="2">IF(F67&lt;=G67,"Low Stock","In Stock")</f>
        <v>In Stock</v>
      </c>
      <c r="J67" s="4">
        <f t="shared" ref="J67:J101" si="3">F67*H67</f>
        <v>1496000</v>
      </c>
    </row>
    <row r="68" spans="1:10" x14ac:dyDescent="0.3">
      <c r="A68" t="s">
        <v>169</v>
      </c>
      <c r="B68" t="s">
        <v>170</v>
      </c>
      <c r="C68" t="s">
        <v>10</v>
      </c>
      <c r="D68" t="s">
        <v>22</v>
      </c>
      <c r="E68" t="s">
        <v>12</v>
      </c>
      <c r="F68">
        <v>69</v>
      </c>
      <c r="G68">
        <v>5</v>
      </c>
      <c r="H68" s="4">
        <v>18000</v>
      </c>
      <c r="I68" t="str">
        <f t="shared" si="2"/>
        <v>In Stock</v>
      </c>
      <c r="J68" s="4">
        <f t="shared" si="3"/>
        <v>1242000</v>
      </c>
    </row>
    <row r="69" spans="1:10" x14ac:dyDescent="0.3">
      <c r="A69" t="s">
        <v>171</v>
      </c>
      <c r="B69" t="s">
        <v>172</v>
      </c>
      <c r="C69" t="s">
        <v>10</v>
      </c>
      <c r="D69" t="s">
        <v>47</v>
      </c>
      <c r="E69" t="s">
        <v>26</v>
      </c>
      <c r="F69">
        <v>80</v>
      </c>
      <c r="G69">
        <v>25</v>
      </c>
      <c r="H69" s="4">
        <v>28000</v>
      </c>
      <c r="I69" t="str">
        <f t="shared" si="2"/>
        <v>In Stock</v>
      </c>
      <c r="J69" s="4">
        <f t="shared" si="3"/>
        <v>2240000</v>
      </c>
    </row>
    <row r="70" spans="1:10" x14ac:dyDescent="0.3">
      <c r="A70" t="s">
        <v>173</v>
      </c>
      <c r="B70" t="s">
        <v>174</v>
      </c>
      <c r="C70" t="s">
        <v>61</v>
      </c>
      <c r="D70" t="s">
        <v>47</v>
      </c>
      <c r="E70" t="s">
        <v>26</v>
      </c>
      <c r="F70">
        <v>35</v>
      </c>
      <c r="G70">
        <v>10</v>
      </c>
      <c r="H70" s="4">
        <v>1400</v>
      </c>
      <c r="I70" t="str">
        <f t="shared" si="2"/>
        <v>In Stock</v>
      </c>
      <c r="J70" s="4">
        <f t="shared" si="3"/>
        <v>49000</v>
      </c>
    </row>
    <row r="71" spans="1:10" x14ac:dyDescent="0.3">
      <c r="A71" t="s">
        <v>175</v>
      </c>
      <c r="B71" t="s">
        <v>176</v>
      </c>
      <c r="C71" t="s">
        <v>61</v>
      </c>
      <c r="D71" t="s">
        <v>47</v>
      </c>
      <c r="E71" t="s">
        <v>26</v>
      </c>
      <c r="F71">
        <v>1</v>
      </c>
      <c r="G71">
        <v>8</v>
      </c>
      <c r="H71" s="4">
        <v>3800</v>
      </c>
      <c r="I71" t="str">
        <f t="shared" si="2"/>
        <v>Low Stock</v>
      </c>
      <c r="J71" s="4">
        <f t="shared" si="3"/>
        <v>3800</v>
      </c>
    </row>
    <row r="72" spans="1:10" x14ac:dyDescent="0.3">
      <c r="A72" t="s">
        <v>177</v>
      </c>
      <c r="B72" t="s">
        <v>178</v>
      </c>
      <c r="C72" t="s">
        <v>66</v>
      </c>
      <c r="D72" t="s">
        <v>22</v>
      </c>
      <c r="E72" t="s">
        <v>32</v>
      </c>
      <c r="F72">
        <v>16</v>
      </c>
      <c r="G72">
        <v>12</v>
      </c>
      <c r="H72" s="4">
        <v>1100</v>
      </c>
      <c r="I72" t="str">
        <f t="shared" si="2"/>
        <v>In Stock</v>
      </c>
      <c r="J72" s="4">
        <f t="shared" si="3"/>
        <v>17600</v>
      </c>
    </row>
    <row r="73" spans="1:10" x14ac:dyDescent="0.3">
      <c r="A73" t="s">
        <v>179</v>
      </c>
      <c r="B73" t="s">
        <v>180</v>
      </c>
      <c r="C73" t="s">
        <v>66</v>
      </c>
      <c r="D73" t="s">
        <v>47</v>
      </c>
      <c r="E73" t="s">
        <v>12</v>
      </c>
      <c r="F73">
        <v>10</v>
      </c>
      <c r="G73">
        <v>10</v>
      </c>
      <c r="H73" s="4">
        <v>4800</v>
      </c>
      <c r="I73" t="str">
        <f t="shared" si="2"/>
        <v>Low Stock</v>
      </c>
      <c r="J73" s="4">
        <f t="shared" si="3"/>
        <v>48000</v>
      </c>
    </row>
    <row r="74" spans="1:10" x14ac:dyDescent="0.3">
      <c r="A74" t="s">
        <v>181</v>
      </c>
      <c r="B74" t="s">
        <v>182</v>
      </c>
      <c r="C74" t="s">
        <v>71</v>
      </c>
      <c r="D74" t="s">
        <v>19</v>
      </c>
      <c r="E74" t="s">
        <v>26</v>
      </c>
      <c r="F74">
        <v>78</v>
      </c>
      <c r="G74">
        <v>15</v>
      </c>
      <c r="H74" s="4">
        <v>2400</v>
      </c>
      <c r="I74" t="str">
        <f t="shared" si="2"/>
        <v>In Stock</v>
      </c>
      <c r="J74" s="4">
        <f t="shared" si="3"/>
        <v>187200</v>
      </c>
    </row>
    <row r="75" spans="1:10" x14ac:dyDescent="0.3">
      <c r="A75" t="s">
        <v>183</v>
      </c>
      <c r="B75" t="s">
        <v>184</v>
      </c>
      <c r="C75" t="s">
        <v>71</v>
      </c>
      <c r="D75" t="s">
        <v>19</v>
      </c>
      <c r="E75" t="s">
        <v>26</v>
      </c>
      <c r="F75">
        <v>47</v>
      </c>
      <c r="G75">
        <v>5</v>
      </c>
      <c r="H75" s="4">
        <v>1900</v>
      </c>
      <c r="I75" t="str">
        <f t="shared" si="2"/>
        <v>In Stock</v>
      </c>
      <c r="J75" s="4">
        <f t="shared" si="3"/>
        <v>89300</v>
      </c>
    </row>
    <row r="76" spans="1:10" x14ac:dyDescent="0.3">
      <c r="A76" t="s">
        <v>185</v>
      </c>
      <c r="B76" t="s">
        <v>186</v>
      </c>
      <c r="C76" t="s">
        <v>29</v>
      </c>
      <c r="D76" t="s">
        <v>72</v>
      </c>
      <c r="E76" t="s">
        <v>23</v>
      </c>
      <c r="F76">
        <v>43</v>
      </c>
      <c r="G76">
        <v>20</v>
      </c>
      <c r="H76" s="4">
        <v>950</v>
      </c>
      <c r="I76" t="str">
        <f t="shared" si="2"/>
        <v>In Stock</v>
      </c>
      <c r="J76" s="4">
        <f t="shared" si="3"/>
        <v>40850</v>
      </c>
    </row>
    <row r="77" spans="1:10" x14ac:dyDescent="0.3">
      <c r="A77" t="s">
        <v>187</v>
      </c>
      <c r="B77" t="s">
        <v>188</v>
      </c>
      <c r="C77" t="s">
        <v>80</v>
      </c>
      <c r="D77" t="s">
        <v>22</v>
      </c>
      <c r="E77" t="s">
        <v>32</v>
      </c>
      <c r="F77">
        <v>22</v>
      </c>
      <c r="G77">
        <v>15</v>
      </c>
      <c r="H77" s="4">
        <v>3200</v>
      </c>
      <c r="I77" t="str">
        <f t="shared" si="2"/>
        <v>In Stock</v>
      </c>
      <c r="J77" s="4">
        <f t="shared" si="3"/>
        <v>70400</v>
      </c>
    </row>
    <row r="78" spans="1:10" x14ac:dyDescent="0.3">
      <c r="A78" t="s">
        <v>189</v>
      </c>
      <c r="B78" t="s">
        <v>190</v>
      </c>
      <c r="C78" t="s">
        <v>80</v>
      </c>
      <c r="D78" t="s">
        <v>16</v>
      </c>
      <c r="E78" t="s">
        <v>12</v>
      </c>
      <c r="F78">
        <v>10</v>
      </c>
      <c r="G78">
        <v>20</v>
      </c>
      <c r="H78" s="4">
        <v>35000</v>
      </c>
      <c r="I78" t="str">
        <f t="shared" si="2"/>
        <v>Low Stock</v>
      </c>
      <c r="J78" s="4">
        <f t="shared" si="3"/>
        <v>350000</v>
      </c>
    </row>
    <row r="79" spans="1:10" x14ac:dyDescent="0.3">
      <c r="A79" t="s">
        <v>191</v>
      </c>
      <c r="B79" t="s">
        <v>192</v>
      </c>
      <c r="C79" t="s">
        <v>80</v>
      </c>
      <c r="D79" t="s">
        <v>19</v>
      </c>
      <c r="E79" t="s">
        <v>12</v>
      </c>
      <c r="F79">
        <v>11</v>
      </c>
      <c r="G79">
        <v>5</v>
      </c>
      <c r="H79" s="4">
        <v>2600</v>
      </c>
      <c r="I79" t="str">
        <f t="shared" si="2"/>
        <v>In Stock</v>
      </c>
      <c r="J79" s="4">
        <f t="shared" si="3"/>
        <v>28600</v>
      </c>
    </row>
    <row r="80" spans="1:10" x14ac:dyDescent="0.3">
      <c r="A80" t="s">
        <v>193</v>
      </c>
      <c r="B80" t="s">
        <v>194</v>
      </c>
      <c r="C80" t="s">
        <v>80</v>
      </c>
      <c r="D80" t="s">
        <v>11</v>
      </c>
      <c r="E80" t="s">
        <v>26</v>
      </c>
      <c r="F80">
        <v>40</v>
      </c>
      <c r="G80">
        <v>15</v>
      </c>
      <c r="H80" s="4">
        <v>12500</v>
      </c>
      <c r="I80" t="str">
        <f t="shared" si="2"/>
        <v>In Stock</v>
      </c>
      <c r="J80" s="4">
        <f t="shared" si="3"/>
        <v>500000</v>
      </c>
    </row>
    <row r="81" spans="1:10" x14ac:dyDescent="0.3">
      <c r="A81" t="s">
        <v>195</v>
      </c>
      <c r="B81" t="s">
        <v>196</v>
      </c>
      <c r="C81" t="s">
        <v>15</v>
      </c>
      <c r="D81" t="s">
        <v>11</v>
      </c>
      <c r="E81" t="s">
        <v>23</v>
      </c>
      <c r="F81">
        <v>31</v>
      </c>
      <c r="G81">
        <v>20</v>
      </c>
      <c r="H81" s="4">
        <v>7200</v>
      </c>
      <c r="I81" t="str">
        <f t="shared" si="2"/>
        <v>In Stock</v>
      </c>
      <c r="J81" s="4">
        <f t="shared" si="3"/>
        <v>223200</v>
      </c>
    </row>
    <row r="82" spans="1:10" x14ac:dyDescent="0.3">
      <c r="A82" t="s">
        <v>197</v>
      </c>
      <c r="B82" t="s">
        <v>198</v>
      </c>
      <c r="C82" t="s">
        <v>92</v>
      </c>
      <c r="D82" t="s">
        <v>11</v>
      </c>
      <c r="E82" t="s">
        <v>23</v>
      </c>
      <c r="F82">
        <v>25</v>
      </c>
      <c r="G82">
        <v>25</v>
      </c>
      <c r="H82" s="4">
        <v>4200</v>
      </c>
      <c r="I82" t="str">
        <f t="shared" si="2"/>
        <v>Low Stock</v>
      </c>
      <c r="J82" s="4">
        <f t="shared" si="3"/>
        <v>105000</v>
      </c>
    </row>
    <row r="83" spans="1:10" x14ac:dyDescent="0.3">
      <c r="A83" t="s">
        <v>199</v>
      </c>
      <c r="B83" t="s">
        <v>200</v>
      </c>
      <c r="C83" t="s">
        <v>92</v>
      </c>
      <c r="D83" t="s">
        <v>47</v>
      </c>
      <c r="E83" t="s">
        <v>32</v>
      </c>
      <c r="F83">
        <v>9</v>
      </c>
      <c r="G83">
        <v>8</v>
      </c>
      <c r="H83" s="4">
        <v>6800</v>
      </c>
      <c r="I83" t="str">
        <f t="shared" si="2"/>
        <v>In Stock</v>
      </c>
      <c r="J83" s="4">
        <f t="shared" si="3"/>
        <v>61200</v>
      </c>
    </row>
    <row r="84" spans="1:10" x14ac:dyDescent="0.3">
      <c r="A84" t="s">
        <v>201</v>
      </c>
      <c r="B84" t="s">
        <v>202</v>
      </c>
      <c r="C84" t="s">
        <v>97</v>
      </c>
      <c r="D84" t="s">
        <v>118</v>
      </c>
      <c r="E84" t="s">
        <v>12</v>
      </c>
      <c r="F84">
        <v>4</v>
      </c>
      <c r="G84">
        <v>15</v>
      </c>
      <c r="H84" s="4">
        <v>6500</v>
      </c>
      <c r="I84" t="str">
        <f t="shared" si="2"/>
        <v>Low Stock</v>
      </c>
      <c r="J84" s="4">
        <f t="shared" si="3"/>
        <v>26000</v>
      </c>
    </row>
    <row r="85" spans="1:10" x14ac:dyDescent="0.3">
      <c r="A85" t="s">
        <v>203</v>
      </c>
      <c r="B85" t="s">
        <v>204</v>
      </c>
      <c r="C85" t="s">
        <v>97</v>
      </c>
      <c r="D85" t="s">
        <v>22</v>
      </c>
      <c r="E85" t="s">
        <v>26</v>
      </c>
      <c r="F85">
        <v>5</v>
      </c>
      <c r="G85">
        <v>15</v>
      </c>
      <c r="H85" s="4">
        <v>9800</v>
      </c>
      <c r="I85" t="str">
        <f t="shared" si="2"/>
        <v>Low Stock</v>
      </c>
      <c r="J85" s="4">
        <f t="shared" si="3"/>
        <v>49000</v>
      </c>
    </row>
    <row r="86" spans="1:10" x14ac:dyDescent="0.3">
      <c r="A86" t="s">
        <v>205</v>
      </c>
      <c r="B86" t="s">
        <v>206</v>
      </c>
      <c r="C86" t="s">
        <v>97</v>
      </c>
      <c r="D86" t="s">
        <v>118</v>
      </c>
      <c r="E86" t="s">
        <v>32</v>
      </c>
      <c r="F86">
        <v>64</v>
      </c>
      <c r="G86">
        <v>5</v>
      </c>
      <c r="H86" s="4">
        <v>5400</v>
      </c>
      <c r="I86" t="str">
        <f t="shared" si="2"/>
        <v>In Stock</v>
      </c>
      <c r="J86" s="4">
        <f t="shared" si="3"/>
        <v>345600</v>
      </c>
    </row>
    <row r="87" spans="1:10" x14ac:dyDescent="0.3">
      <c r="A87" t="s">
        <v>207</v>
      </c>
      <c r="B87" t="s">
        <v>208</v>
      </c>
      <c r="C87" t="s">
        <v>104</v>
      </c>
      <c r="D87" t="s">
        <v>47</v>
      </c>
      <c r="E87" t="s">
        <v>32</v>
      </c>
      <c r="F87">
        <v>35</v>
      </c>
      <c r="G87">
        <v>8</v>
      </c>
      <c r="H87" s="4">
        <v>180</v>
      </c>
      <c r="I87" t="str">
        <f t="shared" si="2"/>
        <v>In Stock</v>
      </c>
      <c r="J87" s="4">
        <f t="shared" si="3"/>
        <v>6300</v>
      </c>
    </row>
    <row r="88" spans="1:10" x14ac:dyDescent="0.3">
      <c r="A88" t="s">
        <v>209</v>
      </c>
      <c r="B88" t="s">
        <v>210</v>
      </c>
      <c r="C88" t="s">
        <v>104</v>
      </c>
      <c r="D88" t="s">
        <v>118</v>
      </c>
      <c r="E88" t="s">
        <v>32</v>
      </c>
      <c r="F88">
        <v>2</v>
      </c>
      <c r="G88">
        <v>8</v>
      </c>
      <c r="H88" s="4">
        <v>120</v>
      </c>
      <c r="I88" t="str">
        <f t="shared" si="2"/>
        <v>Low Stock</v>
      </c>
      <c r="J88" s="4">
        <f t="shared" si="3"/>
        <v>240</v>
      </c>
    </row>
    <row r="89" spans="1:10" x14ac:dyDescent="0.3">
      <c r="A89" t="s">
        <v>211</v>
      </c>
      <c r="B89" t="s">
        <v>212</v>
      </c>
      <c r="C89" t="s">
        <v>104</v>
      </c>
      <c r="D89" t="s">
        <v>81</v>
      </c>
      <c r="E89" t="s">
        <v>23</v>
      </c>
      <c r="F89">
        <v>23</v>
      </c>
      <c r="G89">
        <v>12</v>
      </c>
      <c r="H89" s="4">
        <v>250</v>
      </c>
      <c r="I89" t="str">
        <f t="shared" si="2"/>
        <v>In Stock</v>
      </c>
      <c r="J89" s="4">
        <f t="shared" si="3"/>
        <v>5750</v>
      </c>
    </row>
    <row r="90" spans="1:10" x14ac:dyDescent="0.3">
      <c r="A90" t="s">
        <v>213</v>
      </c>
      <c r="B90" t="s">
        <v>214</v>
      </c>
      <c r="C90" t="s">
        <v>104</v>
      </c>
      <c r="D90" t="s">
        <v>11</v>
      </c>
      <c r="E90" t="s">
        <v>23</v>
      </c>
      <c r="F90">
        <v>78</v>
      </c>
      <c r="G90">
        <v>8</v>
      </c>
      <c r="H90" s="4">
        <v>320</v>
      </c>
      <c r="I90" t="str">
        <f t="shared" si="2"/>
        <v>In Stock</v>
      </c>
      <c r="J90" s="4">
        <f t="shared" si="3"/>
        <v>24960</v>
      </c>
    </row>
    <row r="91" spans="1:10" x14ac:dyDescent="0.3">
      <c r="A91" t="s">
        <v>215</v>
      </c>
      <c r="B91" t="s">
        <v>216</v>
      </c>
      <c r="C91" t="s">
        <v>104</v>
      </c>
      <c r="D91" t="s">
        <v>75</v>
      </c>
      <c r="E91" t="s">
        <v>23</v>
      </c>
      <c r="F91">
        <v>20</v>
      </c>
      <c r="G91">
        <v>20</v>
      </c>
      <c r="H91" s="4">
        <v>220</v>
      </c>
      <c r="I91" t="str">
        <f t="shared" si="2"/>
        <v>Low Stock</v>
      </c>
      <c r="J91" s="4">
        <f t="shared" si="3"/>
        <v>4400</v>
      </c>
    </row>
    <row r="92" spans="1:10" x14ac:dyDescent="0.3">
      <c r="A92" t="s">
        <v>217</v>
      </c>
      <c r="B92" t="s">
        <v>218</v>
      </c>
      <c r="C92" t="s">
        <v>115</v>
      </c>
      <c r="D92" t="s">
        <v>22</v>
      </c>
      <c r="E92" t="s">
        <v>12</v>
      </c>
      <c r="F92">
        <v>18</v>
      </c>
      <c r="G92">
        <v>20</v>
      </c>
      <c r="H92" s="4">
        <v>160</v>
      </c>
      <c r="I92" t="str">
        <f t="shared" si="2"/>
        <v>Low Stock</v>
      </c>
      <c r="J92" s="4">
        <f t="shared" si="3"/>
        <v>2880</v>
      </c>
    </row>
    <row r="93" spans="1:10" x14ac:dyDescent="0.3">
      <c r="A93" t="s">
        <v>219</v>
      </c>
      <c r="B93" t="s">
        <v>220</v>
      </c>
      <c r="C93" t="s">
        <v>115</v>
      </c>
      <c r="D93" t="s">
        <v>118</v>
      </c>
      <c r="E93" t="s">
        <v>32</v>
      </c>
      <c r="F93">
        <v>61</v>
      </c>
      <c r="G93">
        <v>8</v>
      </c>
      <c r="H93" s="4">
        <v>190</v>
      </c>
      <c r="I93" t="str">
        <f t="shared" si="2"/>
        <v>In Stock</v>
      </c>
      <c r="J93" s="4">
        <f t="shared" si="3"/>
        <v>11590</v>
      </c>
    </row>
    <row r="94" spans="1:10" x14ac:dyDescent="0.3">
      <c r="A94" t="s">
        <v>221</v>
      </c>
      <c r="B94" t="s">
        <v>222</v>
      </c>
      <c r="C94" t="s">
        <v>121</v>
      </c>
      <c r="D94" t="s">
        <v>58</v>
      </c>
      <c r="E94" t="s">
        <v>32</v>
      </c>
      <c r="F94">
        <v>73</v>
      </c>
      <c r="G94">
        <v>12</v>
      </c>
      <c r="H94" s="4">
        <v>750</v>
      </c>
      <c r="I94" t="str">
        <f t="shared" si="2"/>
        <v>In Stock</v>
      </c>
      <c r="J94" s="4">
        <f t="shared" si="3"/>
        <v>54750</v>
      </c>
    </row>
    <row r="95" spans="1:10" x14ac:dyDescent="0.3">
      <c r="A95" t="s">
        <v>223</v>
      </c>
      <c r="B95" t="s">
        <v>224</v>
      </c>
      <c r="C95" t="s">
        <v>121</v>
      </c>
      <c r="D95" t="s">
        <v>47</v>
      </c>
      <c r="E95" t="s">
        <v>26</v>
      </c>
      <c r="F95">
        <v>3</v>
      </c>
      <c r="G95">
        <v>20</v>
      </c>
      <c r="H95" s="4">
        <v>300</v>
      </c>
      <c r="I95" t="str">
        <f t="shared" si="2"/>
        <v>Low Stock</v>
      </c>
      <c r="J95" s="4">
        <f t="shared" si="3"/>
        <v>900</v>
      </c>
    </row>
    <row r="96" spans="1:10" x14ac:dyDescent="0.3">
      <c r="A96" t="s">
        <v>225</v>
      </c>
      <c r="B96" t="s">
        <v>226</v>
      </c>
      <c r="C96" t="s">
        <v>66</v>
      </c>
      <c r="D96" t="s">
        <v>58</v>
      </c>
      <c r="E96" t="s">
        <v>26</v>
      </c>
      <c r="F96">
        <v>31</v>
      </c>
      <c r="G96">
        <v>5</v>
      </c>
      <c r="H96" s="4">
        <v>180</v>
      </c>
      <c r="I96" t="str">
        <f t="shared" si="2"/>
        <v>In Stock</v>
      </c>
      <c r="J96" s="4">
        <f t="shared" si="3"/>
        <v>5580</v>
      </c>
    </row>
    <row r="97" spans="1:10" x14ac:dyDescent="0.3">
      <c r="A97" t="s">
        <v>227</v>
      </c>
      <c r="B97" t="s">
        <v>228</v>
      </c>
      <c r="C97" t="s">
        <v>66</v>
      </c>
      <c r="D97" t="s">
        <v>19</v>
      </c>
      <c r="E97" t="s">
        <v>32</v>
      </c>
      <c r="F97">
        <v>78</v>
      </c>
      <c r="G97">
        <v>12</v>
      </c>
      <c r="H97" s="4">
        <v>850</v>
      </c>
      <c r="I97" t="str">
        <f t="shared" si="2"/>
        <v>In Stock</v>
      </c>
      <c r="J97" s="4">
        <f t="shared" si="3"/>
        <v>66300</v>
      </c>
    </row>
    <row r="98" spans="1:10" x14ac:dyDescent="0.3">
      <c r="A98" t="s">
        <v>229</v>
      </c>
      <c r="B98" t="s">
        <v>230</v>
      </c>
      <c r="C98" t="s">
        <v>66</v>
      </c>
      <c r="D98" t="s">
        <v>72</v>
      </c>
      <c r="E98" t="s">
        <v>23</v>
      </c>
      <c r="F98">
        <v>61</v>
      </c>
      <c r="G98">
        <v>5</v>
      </c>
      <c r="H98" s="4">
        <v>2400</v>
      </c>
      <c r="I98" t="str">
        <f t="shared" si="2"/>
        <v>In Stock</v>
      </c>
      <c r="J98" s="4">
        <f t="shared" si="3"/>
        <v>146400</v>
      </c>
    </row>
    <row r="99" spans="1:10" x14ac:dyDescent="0.3">
      <c r="A99" t="s">
        <v>231</v>
      </c>
      <c r="B99" t="s">
        <v>232</v>
      </c>
      <c r="C99" t="s">
        <v>132</v>
      </c>
      <c r="D99" t="s">
        <v>81</v>
      </c>
      <c r="E99" t="s">
        <v>32</v>
      </c>
      <c r="F99">
        <v>1</v>
      </c>
      <c r="G99">
        <v>8</v>
      </c>
      <c r="H99" s="4">
        <v>8500</v>
      </c>
      <c r="I99" t="str">
        <f t="shared" si="2"/>
        <v>Low Stock</v>
      </c>
      <c r="J99" s="4">
        <f t="shared" si="3"/>
        <v>8500</v>
      </c>
    </row>
    <row r="100" spans="1:10" x14ac:dyDescent="0.3">
      <c r="A100" t="s">
        <v>233</v>
      </c>
      <c r="B100" t="s">
        <v>234</v>
      </c>
      <c r="C100" t="s">
        <v>132</v>
      </c>
      <c r="D100" t="s">
        <v>118</v>
      </c>
      <c r="E100" t="s">
        <v>23</v>
      </c>
      <c r="F100">
        <v>12</v>
      </c>
      <c r="G100">
        <v>12</v>
      </c>
      <c r="H100" s="4">
        <v>7200</v>
      </c>
      <c r="I100" t="str">
        <f t="shared" si="2"/>
        <v>Low Stock</v>
      </c>
      <c r="J100" s="4">
        <f t="shared" si="3"/>
        <v>86400</v>
      </c>
    </row>
    <row r="101" spans="1:10" x14ac:dyDescent="0.3">
      <c r="A101" t="s">
        <v>235</v>
      </c>
      <c r="B101" t="s">
        <v>236</v>
      </c>
      <c r="C101" t="s">
        <v>132</v>
      </c>
      <c r="D101" t="s">
        <v>22</v>
      </c>
      <c r="E101" t="s">
        <v>12</v>
      </c>
      <c r="F101">
        <v>18</v>
      </c>
      <c r="G101">
        <v>5</v>
      </c>
      <c r="H101" s="4">
        <v>3600</v>
      </c>
      <c r="I101" t="str">
        <f t="shared" si="2"/>
        <v>In Stock</v>
      </c>
      <c r="J101" s="4">
        <f t="shared" si="3"/>
        <v>64800</v>
      </c>
    </row>
  </sheetData>
  <autoFilter ref="A1:J101" xr:uid="{B2E13821-D21B-4883-BDE4-B9DCEA2285D5}"/>
  <conditionalFormatting sqref="I1:I1048576">
    <cfRule type="containsText" dxfId="3" priority="1" operator="containsText" text="In Stock">
      <formula>NOT(ISERROR(SEARCH("In Stock",I1)))</formula>
    </cfRule>
    <cfRule type="containsText" dxfId="2" priority="2" operator="containsText" text="Low Stock">
      <formula>NOT(ISERROR(SEARCH("Low Stock",I1)))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1863-3DFA-44E7-BD31-B8CA74E777FA}">
  <sheetPr filterMode="1"/>
  <dimension ref="A1:K101"/>
  <sheetViews>
    <sheetView workbookViewId="0">
      <selection activeCell="E57" sqref="E57"/>
    </sheetView>
  </sheetViews>
  <sheetFormatPr defaultRowHeight="14.4" x14ac:dyDescent="0.3"/>
  <cols>
    <col min="1" max="1" width="7.6640625" bestFit="1" customWidth="1"/>
    <col min="2" max="2" width="27" bestFit="1" customWidth="1"/>
    <col min="3" max="3" width="19.77734375" bestFit="1" customWidth="1"/>
    <col min="4" max="4" width="18.6640625" bestFit="1" customWidth="1"/>
    <col min="5" max="5" width="17.44140625" bestFit="1" customWidth="1"/>
    <col min="6" max="6" width="8.6640625" bestFit="1" customWidth="1"/>
    <col min="7" max="7" width="7.6640625" bestFit="1" customWidth="1"/>
    <col min="8" max="8" width="11.109375" bestFit="1" customWidth="1"/>
    <col min="10" max="10" width="15.44140625" customWidth="1"/>
    <col min="11" max="11" width="21" bestFit="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J1" s="2" t="s">
        <v>237</v>
      </c>
      <c r="K1" s="3" t="s">
        <v>238</v>
      </c>
    </row>
    <row r="2" spans="1:11" hidden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37</v>
      </c>
      <c r="G2">
        <v>15</v>
      </c>
      <c r="H2" s="4">
        <v>45000</v>
      </c>
      <c r="J2" t="str">
        <f>IF(F2&lt;=G2,"Low Stock","In Stock")</f>
        <v>In Stock</v>
      </c>
      <c r="K2" s="4">
        <f>F2*H2</f>
        <v>1665000</v>
      </c>
    </row>
    <row r="3" spans="1:11" hidden="1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26</v>
      </c>
      <c r="G3">
        <v>15</v>
      </c>
      <c r="H3" s="4">
        <v>650</v>
      </c>
      <c r="J3" t="str">
        <f t="shared" ref="J3:J66" si="0">IF(F3&lt;=G3,"Low Stock","In Stock")</f>
        <v>In Stock</v>
      </c>
      <c r="K3" s="4">
        <f t="shared" ref="K3:K66" si="1">F3*H3</f>
        <v>16900</v>
      </c>
    </row>
    <row r="4" spans="1:11" hidden="1" x14ac:dyDescent="0.3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48</v>
      </c>
      <c r="G4">
        <v>12</v>
      </c>
      <c r="H4" s="4">
        <v>1200</v>
      </c>
      <c r="J4" t="str">
        <f t="shared" si="0"/>
        <v>In Stock</v>
      </c>
      <c r="K4" s="4">
        <f t="shared" si="1"/>
        <v>57600</v>
      </c>
    </row>
    <row r="5" spans="1:11" x14ac:dyDescent="0.3">
      <c r="A5" t="s">
        <v>20</v>
      </c>
      <c r="B5" t="s">
        <v>21</v>
      </c>
      <c r="C5" t="s">
        <v>10</v>
      </c>
      <c r="D5" t="s">
        <v>22</v>
      </c>
      <c r="E5" t="s">
        <v>23</v>
      </c>
      <c r="F5">
        <v>0</v>
      </c>
      <c r="G5">
        <v>12</v>
      </c>
      <c r="H5" s="4">
        <v>12500</v>
      </c>
      <c r="J5" t="str">
        <f t="shared" si="0"/>
        <v>Low Stock</v>
      </c>
      <c r="K5" s="4">
        <f t="shared" si="1"/>
        <v>0</v>
      </c>
    </row>
    <row r="6" spans="1:11" hidden="1" x14ac:dyDescent="0.3">
      <c r="A6" t="s">
        <v>24</v>
      </c>
      <c r="B6" t="s">
        <v>25</v>
      </c>
      <c r="C6" t="s">
        <v>10</v>
      </c>
      <c r="D6" t="s">
        <v>19</v>
      </c>
      <c r="E6" t="s">
        <v>26</v>
      </c>
      <c r="F6">
        <v>9</v>
      </c>
      <c r="G6">
        <v>5</v>
      </c>
      <c r="H6" s="4">
        <v>9500</v>
      </c>
      <c r="J6" t="str">
        <f t="shared" si="0"/>
        <v>In Stock</v>
      </c>
      <c r="K6" s="4">
        <f t="shared" si="1"/>
        <v>85500</v>
      </c>
    </row>
    <row r="7" spans="1:11" hidden="1" x14ac:dyDescent="0.3">
      <c r="A7" t="s">
        <v>27</v>
      </c>
      <c r="B7" t="s">
        <v>28</v>
      </c>
      <c r="C7" t="s">
        <v>29</v>
      </c>
      <c r="D7" t="s">
        <v>22</v>
      </c>
      <c r="E7" t="s">
        <v>12</v>
      </c>
      <c r="F7">
        <v>44</v>
      </c>
      <c r="G7">
        <v>25</v>
      </c>
      <c r="H7" s="4">
        <v>450</v>
      </c>
      <c r="J7" t="str">
        <f t="shared" si="0"/>
        <v>In Stock</v>
      </c>
      <c r="K7" s="4">
        <f t="shared" si="1"/>
        <v>19800</v>
      </c>
    </row>
    <row r="8" spans="1:11" x14ac:dyDescent="0.3">
      <c r="A8" t="s">
        <v>30</v>
      </c>
      <c r="B8" t="s">
        <v>31</v>
      </c>
      <c r="C8" t="s">
        <v>15</v>
      </c>
      <c r="D8" t="s">
        <v>11</v>
      </c>
      <c r="E8" t="s">
        <v>32</v>
      </c>
      <c r="F8">
        <v>3</v>
      </c>
      <c r="G8">
        <v>12</v>
      </c>
      <c r="H8" s="4">
        <v>1800</v>
      </c>
      <c r="J8" t="str">
        <f t="shared" si="0"/>
        <v>Low Stock</v>
      </c>
      <c r="K8" s="4">
        <f t="shared" si="1"/>
        <v>5400</v>
      </c>
    </row>
    <row r="9" spans="1:11" hidden="1" x14ac:dyDescent="0.3">
      <c r="A9" t="s">
        <v>33</v>
      </c>
      <c r="B9" t="s">
        <v>34</v>
      </c>
      <c r="C9" t="s">
        <v>10</v>
      </c>
      <c r="D9" t="s">
        <v>11</v>
      </c>
      <c r="E9" t="s">
        <v>12</v>
      </c>
      <c r="F9">
        <v>54</v>
      </c>
      <c r="G9">
        <v>25</v>
      </c>
      <c r="H9" s="4">
        <v>2300</v>
      </c>
      <c r="J9" t="str">
        <f t="shared" si="0"/>
        <v>In Stock</v>
      </c>
      <c r="K9" s="4">
        <f t="shared" si="1"/>
        <v>124200</v>
      </c>
    </row>
    <row r="10" spans="1:11" x14ac:dyDescent="0.3">
      <c r="A10" t="s">
        <v>35</v>
      </c>
      <c r="B10" t="s">
        <v>36</v>
      </c>
      <c r="C10" t="s">
        <v>37</v>
      </c>
      <c r="D10" t="s">
        <v>22</v>
      </c>
      <c r="E10" t="s">
        <v>12</v>
      </c>
      <c r="F10">
        <v>20</v>
      </c>
      <c r="G10">
        <v>20</v>
      </c>
      <c r="H10" s="4">
        <v>3200</v>
      </c>
      <c r="J10" t="str">
        <f t="shared" si="0"/>
        <v>Low Stock</v>
      </c>
      <c r="K10" s="4">
        <f t="shared" si="1"/>
        <v>64000</v>
      </c>
    </row>
    <row r="11" spans="1:11" hidden="1" x14ac:dyDescent="0.3">
      <c r="A11" t="s">
        <v>38</v>
      </c>
      <c r="B11" t="s">
        <v>39</v>
      </c>
      <c r="C11" t="s">
        <v>29</v>
      </c>
      <c r="D11" t="s">
        <v>16</v>
      </c>
      <c r="E11" t="s">
        <v>23</v>
      </c>
      <c r="F11">
        <v>63</v>
      </c>
      <c r="G11">
        <v>15</v>
      </c>
      <c r="H11" s="4">
        <v>6500</v>
      </c>
      <c r="J11" t="str">
        <f t="shared" si="0"/>
        <v>In Stock</v>
      </c>
      <c r="K11" s="4">
        <f t="shared" si="1"/>
        <v>409500</v>
      </c>
    </row>
    <row r="12" spans="1:11" hidden="1" x14ac:dyDescent="0.3">
      <c r="A12" t="s">
        <v>40</v>
      </c>
      <c r="B12" t="s">
        <v>41</v>
      </c>
      <c r="C12" t="s">
        <v>29</v>
      </c>
      <c r="D12" t="s">
        <v>16</v>
      </c>
      <c r="E12" t="s">
        <v>32</v>
      </c>
      <c r="F12">
        <v>39</v>
      </c>
      <c r="G12">
        <v>25</v>
      </c>
      <c r="H12" s="4">
        <v>5200</v>
      </c>
      <c r="J12" t="str">
        <f t="shared" si="0"/>
        <v>In Stock</v>
      </c>
      <c r="K12" s="4">
        <f t="shared" si="1"/>
        <v>202800</v>
      </c>
    </row>
    <row r="13" spans="1:11" x14ac:dyDescent="0.3">
      <c r="A13" t="s">
        <v>42</v>
      </c>
      <c r="B13" t="s">
        <v>43</v>
      </c>
      <c r="C13" t="s">
        <v>15</v>
      </c>
      <c r="D13" t="s">
        <v>19</v>
      </c>
      <c r="E13" t="s">
        <v>23</v>
      </c>
      <c r="F13">
        <v>10</v>
      </c>
      <c r="G13">
        <v>15</v>
      </c>
      <c r="H13" s="4">
        <v>900</v>
      </c>
      <c r="J13" t="str">
        <f t="shared" si="0"/>
        <v>Low Stock</v>
      </c>
      <c r="K13" s="4">
        <f t="shared" si="1"/>
        <v>9000</v>
      </c>
    </row>
    <row r="14" spans="1:11" hidden="1" x14ac:dyDescent="0.3">
      <c r="A14" t="s">
        <v>44</v>
      </c>
      <c r="B14" t="s">
        <v>45</v>
      </c>
      <c r="C14" t="s">
        <v>46</v>
      </c>
      <c r="D14" t="s">
        <v>47</v>
      </c>
      <c r="E14" t="s">
        <v>12</v>
      </c>
      <c r="F14">
        <v>40</v>
      </c>
      <c r="G14">
        <v>20</v>
      </c>
      <c r="H14" s="4">
        <v>350</v>
      </c>
      <c r="J14" t="str">
        <f t="shared" si="0"/>
        <v>In Stock</v>
      </c>
      <c r="K14" s="4">
        <f t="shared" si="1"/>
        <v>14000</v>
      </c>
    </row>
    <row r="15" spans="1:11" x14ac:dyDescent="0.3">
      <c r="A15" t="s">
        <v>48</v>
      </c>
      <c r="B15" t="s">
        <v>49</v>
      </c>
      <c r="C15" t="s">
        <v>46</v>
      </c>
      <c r="D15" t="s">
        <v>19</v>
      </c>
      <c r="E15" t="s">
        <v>23</v>
      </c>
      <c r="F15">
        <v>4</v>
      </c>
      <c r="G15">
        <v>12</v>
      </c>
      <c r="H15" s="4">
        <v>250</v>
      </c>
      <c r="J15" t="str">
        <f t="shared" si="0"/>
        <v>Low Stock</v>
      </c>
      <c r="K15" s="4">
        <f t="shared" si="1"/>
        <v>1000</v>
      </c>
    </row>
    <row r="16" spans="1:11" hidden="1" x14ac:dyDescent="0.3">
      <c r="A16" t="s">
        <v>50</v>
      </c>
      <c r="B16" t="s">
        <v>51</v>
      </c>
      <c r="C16" t="s">
        <v>15</v>
      </c>
      <c r="D16" t="s">
        <v>22</v>
      </c>
      <c r="E16" t="s">
        <v>26</v>
      </c>
      <c r="F16">
        <v>42</v>
      </c>
      <c r="G16">
        <v>12</v>
      </c>
      <c r="H16" s="4">
        <v>1600</v>
      </c>
      <c r="J16" t="str">
        <f t="shared" si="0"/>
        <v>In Stock</v>
      </c>
      <c r="K16" s="4">
        <f t="shared" si="1"/>
        <v>67200</v>
      </c>
    </row>
    <row r="17" spans="1:11" hidden="1" x14ac:dyDescent="0.3">
      <c r="A17" t="s">
        <v>52</v>
      </c>
      <c r="B17" t="s">
        <v>53</v>
      </c>
      <c r="C17" t="s">
        <v>10</v>
      </c>
      <c r="D17" t="s">
        <v>22</v>
      </c>
      <c r="E17" t="s">
        <v>32</v>
      </c>
      <c r="F17">
        <v>42</v>
      </c>
      <c r="G17">
        <v>25</v>
      </c>
      <c r="H17" s="4">
        <v>22000</v>
      </c>
      <c r="J17" t="str">
        <f t="shared" si="0"/>
        <v>In Stock</v>
      </c>
      <c r="K17" s="4">
        <f t="shared" si="1"/>
        <v>924000</v>
      </c>
    </row>
    <row r="18" spans="1:11" x14ac:dyDescent="0.3">
      <c r="A18" t="s">
        <v>54</v>
      </c>
      <c r="B18" t="s">
        <v>55</v>
      </c>
      <c r="C18" t="s">
        <v>10</v>
      </c>
      <c r="D18" t="s">
        <v>47</v>
      </c>
      <c r="E18" t="s">
        <v>26</v>
      </c>
      <c r="F18">
        <v>2</v>
      </c>
      <c r="G18">
        <v>5</v>
      </c>
      <c r="H18" s="4">
        <v>18000</v>
      </c>
      <c r="J18" t="str">
        <f t="shared" si="0"/>
        <v>Low Stock</v>
      </c>
      <c r="K18" s="4">
        <f t="shared" si="1"/>
        <v>36000</v>
      </c>
    </row>
    <row r="19" spans="1:11" x14ac:dyDescent="0.3">
      <c r="A19" t="s">
        <v>56</v>
      </c>
      <c r="B19" t="s">
        <v>57</v>
      </c>
      <c r="C19" t="s">
        <v>10</v>
      </c>
      <c r="D19" t="s">
        <v>58</v>
      </c>
      <c r="E19" t="s">
        <v>32</v>
      </c>
      <c r="F19">
        <v>12</v>
      </c>
      <c r="G19">
        <v>12</v>
      </c>
      <c r="H19" s="4">
        <v>28000</v>
      </c>
      <c r="J19" t="str">
        <f t="shared" si="0"/>
        <v>Low Stock</v>
      </c>
      <c r="K19" s="4">
        <f t="shared" si="1"/>
        <v>336000</v>
      </c>
    </row>
    <row r="20" spans="1:11" hidden="1" x14ac:dyDescent="0.3">
      <c r="A20" t="s">
        <v>59</v>
      </c>
      <c r="B20" t="s">
        <v>60</v>
      </c>
      <c r="C20" t="s">
        <v>61</v>
      </c>
      <c r="D20" t="s">
        <v>19</v>
      </c>
      <c r="E20" t="s">
        <v>23</v>
      </c>
      <c r="F20">
        <v>32</v>
      </c>
      <c r="G20">
        <v>15</v>
      </c>
      <c r="H20" s="4">
        <v>1400</v>
      </c>
      <c r="J20" t="str">
        <f t="shared" si="0"/>
        <v>In Stock</v>
      </c>
      <c r="K20" s="4">
        <f t="shared" si="1"/>
        <v>44800</v>
      </c>
    </row>
    <row r="21" spans="1:11" x14ac:dyDescent="0.3">
      <c r="A21" t="s">
        <v>62</v>
      </c>
      <c r="B21" t="s">
        <v>63</v>
      </c>
      <c r="C21" t="s">
        <v>61</v>
      </c>
      <c r="D21" t="s">
        <v>22</v>
      </c>
      <c r="E21" t="s">
        <v>32</v>
      </c>
      <c r="F21">
        <v>23</v>
      </c>
      <c r="G21">
        <v>25</v>
      </c>
      <c r="H21" s="4">
        <v>3800</v>
      </c>
      <c r="J21" t="str">
        <f t="shared" si="0"/>
        <v>Low Stock</v>
      </c>
      <c r="K21" s="4">
        <f t="shared" si="1"/>
        <v>87400</v>
      </c>
    </row>
    <row r="22" spans="1:11" x14ac:dyDescent="0.3">
      <c r="A22" t="s">
        <v>64</v>
      </c>
      <c r="B22" t="s">
        <v>65</v>
      </c>
      <c r="C22" t="s">
        <v>66</v>
      </c>
      <c r="D22" t="s">
        <v>58</v>
      </c>
      <c r="E22" t="s">
        <v>32</v>
      </c>
      <c r="F22">
        <v>3</v>
      </c>
      <c r="G22">
        <v>12</v>
      </c>
      <c r="H22" s="4">
        <v>1100</v>
      </c>
      <c r="J22" t="str">
        <f t="shared" si="0"/>
        <v>Low Stock</v>
      </c>
      <c r="K22" s="4">
        <f t="shared" si="1"/>
        <v>3300</v>
      </c>
    </row>
    <row r="23" spans="1:11" hidden="1" x14ac:dyDescent="0.3">
      <c r="A23" t="s">
        <v>67</v>
      </c>
      <c r="B23" t="s">
        <v>68</v>
      </c>
      <c r="C23" t="s">
        <v>66</v>
      </c>
      <c r="D23" t="s">
        <v>16</v>
      </c>
      <c r="E23" t="s">
        <v>26</v>
      </c>
      <c r="F23">
        <v>79</v>
      </c>
      <c r="G23">
        <v>12</v>
      </c>
      <c r="H23" s="4">
        <v>4800</v>
      </c>
      <c r="J23" t="str">
        <f t="shared" si="0"/>
        <v>In Stock</v>
      </c>
      <c r="K23" s="4">
        <f t="shared" si="1"/>
        <v>379200</v>
      </c>
    </row>
    <row r="24" spans="1:11" hidden="1" x14ac:dyDescent="0.3">
      <c r="A24" t="s">
        <v>69</v>
      </c>
      <c r="B24" t="s">
        <v>70</v>
      </c>
      <c r="C24" t="s">
        <v>71</v>
      </c>
      <c r="D24" t="s">
        <v>72</v>
      </c>
      <c r="E24" t="s">
        <v>32</v>
      </c>
      <c r="F24">
        <v>80</v>
      </c>
      <c r="G24">
        <v>20</v>
      </c>
      <c r="H24" s="4">
        <v>2400</v>
      </c>
      <c r="J24" t="str">
        <f t="shared" si="0"/>
        <v>In Stock</v>
      </c>
      <c r="K24" s="4">
        <f t="shared" si="1"/>
        <v>192000</v>
      </c>
    </row>
    <row r="25" spans="1:11" hidden="1" x14ac:dyDescent="0.3">
      <c r="A25" t="s">
        <v>73</v>
      </c>
      <c r="B25" t="s">
        <v>74</v>
      </c>
      <c r="C25" t="s">
        <v>71</v>
      </c>
      <c r="D25" t="s">
        <v>75</v>
      </c>
      <c r="E25" t="s">
        <v>32</v>
      </c>
      <c r="F25">
        <v>60</v>
      </c>
      <c r="G25">
        <v>25</v>
      </c>
      <c r="H25" s="4">
        <v>1900</v>
      </c>
      <c r="J25" t="str">
        <f t="shared" si="0"/>
        <v>In Stock</v>
      </c>
      <c r="K25" s="4">
        <f t="shared" si="1"/>
        <v>114000</v>
      </c>
    </row>
    <row r="26" spans="1:11" hidden="1" x14ac:dyDescent="0.3">
      <c r="A26" t="s">
        <v>76</v>
      </c>
      <c r="B26" t="s">
        <v>77</v>
      </c>
      <c r="C26" t="s">
        <v>29</v>
      </c>
      <c r="D26" t="s">
        <v>19</v>
      </c>
      <c r="E26" t="s">
        <v>32</v>
      </c>
      <c r="F26">
        <v>17</v>
      </c>
      <c r="G26">
        <v>15</v>
      </c>
      <c r="H26" s="4">
        <v>950</v>
      </c>
      <c r="J26" t="str">
        <f t="shared" si="0"/>
        <v>In Stock</v>
      </c>
      <c r="K26" s="4">
        <f t="shared" si="1"/>
        <v>16150</v>
      </c>
    </row>
    <row r="27" spans="1:11" hidden="1" x14ac:dyDescent="0.3">
      <c r="A27" t="s">
        <v>78</v>
      </c>
      <c r="B27" t="s">
        <v>79</v>
      </c>
      <c r="C27" t="s">
        <v>80</v>
      </c>
      <c r="D27" t="s">
        <v>81</v>
      </c>
      <c r="E27" t="s">
        <v>23</v>
      </c>
      <c r="F27">
        <v>41</v>
      </c>
      <c r="G27">
        <v>15</v>
      </c>
      <c r="H27" s="4">
        <v>3200</v>
      </c>
      <c r="J27" t="str">
        <f t="shared" si="0"/>
        <v>In Stock</v>
      </c>
      <c r="K27" s="4">
        <f t="shared" si="1"/>
        <v>131200</v>
      </c>
    </row>
    <row r="28" spans="1:11" x14ac:dyDescent="0.3">
      <c r="A28" t="s">
        <v>82</v>
      </c>
      <c r="B28" t="s">
        <v>83</v>
      </c>
      <c r="C28" t="s">
        <v>80</v>
      </c>
      <c r="D28" t="s">
        <v>22</v>
      </c>
      <c r="E28" t="s">
        <v>12</v>
      </c>
      <c r="F28">
        <v>5</v>
      </c>
      <c r="G28">
        <v>5</v>
      </c>
      <c r="H28" s="4">
        <v>35000</v>
      </c>
      <c r="J28" t="str">
        <f t="shared" si="0"/>
        <v>Low Stock</v>
      </c>
      <c r="K28" s="4">
        <f t="shared" si="1"/>
        <v>175000</v>
      </c>
    </row>
    <row r="29" spans="1:11" x14ac:dyDescent="0.3">
      <c r="A29" t="s">
        <v>84</v>
      </c>
      <c r="B29" t="s">
        <v>85</v>
      </c>
      <c r="C29" t="s">
        <v>80</v>
      </c>
      <c r="D29" t="s">
        <v>16</v>
      </c>
      <c r="E29" t="s">
        <v>26</v>
      </c>
      <c r="F29">
        <v>14</v>
      </c>
      <c r="G29">
        <v>15</v>
      </c>
      <c r="H29" s="4">
        <v>2600</v>
      </c>
      <c r="J29" t="str">
        <f t="shared" si="0"/>
        <v>Low Stock</v>
      </c>
      <c r="K29" s="4">
        <f t="shared" si="1"/>
        <v>36400</v>
      </c>
    </row>
    <row r="30" spans="1:11" hidden="1" x14ac:dyDescent="0.3">
      <c r="A30" t="s">
        <v>86</v>
      </c>
      <c r="B30" t="s">
        <v>87</v>
      </c>
      <c r="C30" t="s">
        <v>80</v>
      </c>
      <c r="D30" t="s">
        <v>81</v>
      </c>
      <c r="E30" t="s">
        <v>26</v>
      </c>
      <c r="F30">
        <v>68</v>
      </c>
      <c r="G30">
        <v>20</v>
      </c>
      <c r="H30" s="4">
        <v>12500</v>
      </c>
      <c r="J30" t="str">
        <f t="shared" si="0"/>
        <v>In Stock</v>
      </c>
      <c r="K30" s="4">
        <f t="shared" si="1"/>
        <v>850000</v>
      </c>
    </row>
    <row r="31" spans="1:11" x14ac:dyDescent="0.3">
      <c r="A31" t="s">
        <v>88</v>
      </c>
      <c r="B31" t="s">
        <v>89</v>
      </c>
      <c r="C31" t="s">
        <v>15</v>
      </c>
      <c r="D31" t="s">
        <v>19</v>
      </c>
      <c r="E31" t="s">
        <v>26</v>
      </c>
      <c r="F31">
        <v>0</v>
      </c>
      <c r="G31">
        <v>20</v>
      </c>
      <c r="H31" s="4">
        <v>7200</v>
      </c>
      <c r="J31" t="str">
        <f t="shared" si="0"/>
        <v>Low Stock</v>
      </c>
      <c r="K31" s="4">
        <f t="shared" si="1"/>
        <v>0</v>
      </c>
    </row>
    <row r="32" spans="1:11" hidden="1" x14ac:dyDescent="0.3">
      <c r="A32" t="s">
        <v>90</v>
      </c>
      <c r="B32" t="s">
        <v>91</v>
      </c>
      <c r="C32" t="s">
        <v>92</v>
      </c>
      <c r="D32" t="s">
        <v>16</v>
      </c>
      <c r="E32" t="s">
        <v>26</v>
      </c>
      <c r="F32">
        <v>47</v>
      </c>
      <c r="G32">
        <v>15</v>
      </c>
      <c r="H32" s="4">
        <v>4200</v>
      </c>
      <c r="J32" t="str">
        <f t="shared" si="0"/>
        <v>In Stock</v>
      </c>
      <c r="K32" s="4">
        <f t="shared" si="1"/>
        <v>197400</v>
      </c>
    </row>
    <row r="33" spans="1:11" hidden="1" x14ac:dyDescent="0.3">
      <c r="A33" t="s">
        <v>93</v>
      </c>
      <c r="B33" t="s">
        <v>94</v>
      </c>
      <c r="C33" t="s">
        <v>92</v>
      </c>
      <c r="D33" t="s">
        <v>19</v>
      </c>
      <c r="E33" t="s">
        <v>23</v>
      </c>
      <c r="F33">
        <v>66</v>
      </c>
      <c r="G33">
        <v>25</v>
      </c>
      <c r="H33" s="4">
        <v>6800</v>
      </c>
      <c r="J33" t="str">
        <f t="shared" si="0"/>
        <v>In Stock</v>
      </c>
      <c r="K33" s="4">
        <f t="shared" si="1"/>
        <v>448800</v>
      </c>
    </row>
    <row r="34" spans="1:11" hidden="1" x14ac:dyDescent="0.3">
      <c r="A34" t="s">
        <v>95</v>
      </c>
      <c r="B34" t="s">
        <v>96</v>
      </c>
      <c r="C34" t="s">
        <v>97</v>
      </c>
      <c r="D34" t="s">
        <v>22</v>
      </c>
      <c r="E34" t="s">
        <v>12</v>
      </c>
      <c r="F34">
        <v>49</v>
      </c>
      <c r="G34">
        <v>25</v>
      </c>
      <c r="H34" s="4">
        <v>6500</v>
      </c>
      <c r="J34" t="str">
        <f t="shared" si="0"/>
        <v>In Stock</v>
      </c>
      <c r="K34" s="4">
        <f t="shared" si="1"/>
        <v>318500</v>
      </c>
    </row>
    <row r="35" spans="1:11" hidden="1" x14ac:dyDescent="0.3">
      <c r="A35" t="s">
        <v>98</v>
      </c>
      <c r="B35" t="s">
        <v>99</v>
      </c>
      <c r="C35" t="s">
        <v>97</v>
      </c>
      <c r="D35" t="s">
        <v>81</v>
      </c>
      <c r="E35" t="s">
        <v>23</v>
      </c>
      <c r="F35">
        <v>42</v>
      </c>
      <c r="G35">
        <v>20</v>
      </c>
      <c r="H35" s="4">
        <v>9800</v>
      </c>
      <c r="J35" t="str">
        <f t="shared" si="0"/>
        <v>In Stock</v>
      </c>
      <c r="K35" s="4">
        <f t="shared" si="1"/>
        <v>411600</v>
      </c>
    </row>
    <row r="36" spans="1:11" x14ac:dyDescent="0.3">
      <c r="A36" t="s">
        <v>100</v>
      </c>
      <c r="B36" t="s">
        <v>101</v>
      </c>
      <c r="C36" t="s">
        <v>97</v>
      </c>
      <c r="D36" t="s">
        <v>81</v>
      </c>
      <c r="E36" t="s">
        <v>23</v>
      </c>
      <c r="F36">
        <v>7</v>
      </c>
      <c r="G36">
        <v>12</v>
      </c>
      <c r="H36" s="4">
        <v>5400</v>
      </c>
      <c r="J36" t="str">
        <f t="shared" si="0"/>
        <v>Low Stock</v>
      </c>
      <c r="K36" s="4">
        <f t="shared" si="1"/>
        <v>37800</v>
      </c>
    </row>
    <row r="37" spans="1:11" x14ac:dyDescent="0.3">
      <c r="A37" t="s">
        <v>102</v>
      </c>
      <c r="B37" t="s">
        <v>103</v>
      </c>
      <c r="C37" t="s">
        <v>104</v>
      </c>
      <c r="D37" t="s">
        <v>72</v>
      </c>
      <c r="E37" t="s">
        <v>23</v>
      </c>
      <c r="F37">
        <v>12</v>
      </c>
      <c r="G37">
        <v>12</v>
      </c>
      <c r="H37" s="4">
        <v>180</v>
      </c>
      <c r="J37" t="str">
        <f t="shared" si="0"/>
        <v>Low Stock</v>
      </c>
      <c r="K37" s="4">
        <f t="shared" si="1"/>
        <v>2160</v>
      </c>
    </row>
    <row r="38" spans="1:11" hidden="1" x14ac:dyDescent="0.3">
      <c r="A38" t="s">
        <v>105</v>
      </c>
      <c r="B38" t="s">
        <v>106</v>
      </c>
      <c r="C38" t="s">
        <v>104</v>
      </c>
      <c r="D38" t="s">
        <v>16</v>
      </c>
      <c r="E38" t="s">
        <v>12</v>
      </c>
      <c r="F38">
        <v>37</v>
      </c>
      <c r="G38">
        <v>25</v>
      </c>
      <c r="H38" s="4">
        <v>120</v>
      </c>
      <c r="J38" t="str">
        <f t="shared" si="0"/>
        <v>In Stock</v>
      </c>
      <c r="K38" s="4">
        <f t="shared" si="1"/>
        <v>4440</v>
      </c>
    </row>
    <row r="39" spans="1:11" hidden="1" x14ac:dyDescent="0.3">
      <c r="A39" t="s">
        <v>107</v>
      </c>
      <c r="B39" t="s">
        <v>108</v>
      </c>
      <c r="C39" t="s">
        <v>104</v>
      </c>
      <c r="D39" t="s">
        <v>81</v>
      </c>
      <c r="E39" t="s">
        <v>26</v>
      </c>
      <c r="F39">
        <v>43</v>
      </c>
      <c r="G39">
        <v>10</v>
      </c>
      <c r="H39" s="4">
        <v>250</v>
      </c>
      <c r="J39" t="str">
        <f t="shared" si="0"/>
        <v>In Stock</v>
      </c>
      <c r="K39" s="4">
        <f t="shared" si="1"/>
        <v>10750</v>
      </c>
    </row>
    <row r="40" spans="1:11" hidden="1" x14ac:dyDescent="0.3">
      <c r="A40" t="s">
        <v>109</v>
      </c>
      <c r="B40" t="s">
        <v>110</v>
      </c>
      <c r="C40" t="s">
        <v>104</v>
      </c>
      <c r="D40" t="s">
        <v>47</v>
      </c>
      <c r="E40" t="s">
        <v>32</v>
      </c>
      <c r="F40">
        <v>57</v>
      </c>
      <c r="G40">
        <v>25</v>
      </c>
      <c r="H40" s="4">
        <v>320</v>
      </c>
      <c r="J40" t="str">
        <f t="shared" si="0"/>
        <v>In Stock</v>
      </c>
      <c r="K40" s="4">
        <f t="shared" si="1"/>
        <v>18240</v>
      </c>
    </row>
    <row r="41" spans="1:11" hidden="1" x14ac:dyDescent="0.3">
      <c r="A41" t="s">
        <v>111</v>
      </c>
      <c r="B41" t="s">
        <v>112</v>
      </c>
      <c r="C41" t="s">
        <v>104</v>
      </c>
      <c r="D41" t="s">
        <v>11</v>
      </c>
      <c r="E41" t="s">
        <v>23</v>
      </c>
      <c r="F41">
        <v>61</v>
      </c>
      <c r="G41">
        <v>12</v>
      </c>
      <c r="H41" s="4">
        <v>220</v>
      </c>
      <c r="J41" t="str">
        <f t="shared" si="0"/>
        <v>In Stock</v>
      </c>
      <c r="K41" s="4">
        <f t="shared" si="1"/>
        <v>13420</v>
      </c>
    </row>
    <row r="42" spans="1:11" hidden="1" x14ac:dyDescent="0.3">
      <c r="A42" t="s">
        <v>113</v>
      </c>
      <c r="B42" t="s">
        <v>114</v>
      </c>
      <c r="C42" t="s">
        <v>115</v>
      </c>
      <c r="D42" t="s">
        <v>75</v>
      </c>
      <c r="E42" t="s">
        <v>26</v>
      </c>
      <c r="F42">
        <v>31</v>
      </c>
      <c r="G42">
        <v>5</v>
      </c>
      <c r="H42" s="4">
        <v>160</v>
      </c>
      <c r="J42" t="str">
        <f t="shared" si="0"/>
        <v>In Stock</v>
      </c>
      <c r="K42" s="4">
        <f t="shared" si="1"/>
        <v>4960</v>
      </c>
    </row>
    <row r="43" spans="1:11" x14ac:dyDescent="0.3">
      <c r="A43" t="s">
        <v>116</v>
      </c>
      <c r="B43" t="s">
        <v>117</v>
      </c>
      <c r="C43" t="s">
        <v>115</v>
      </c>
      <c r="D43" t="s">
        <v>118</v>
      </c>
      <c r="E43" t="s">
        <v>26</v>
      </c>
      <c r="F43">
        <v>3</v>
      </c>
      <c r="G43">
        <v>12</v>
      </c>
      <c r="H43" s="4">
        <v>190</v>
      </c>
      <c r="J43" t="str">
        <f t="shared" si="0"/>
        <v>Low Stock</v>
      </c>
      <c r="K43" s="4">
        <f t="shared" si="1"/>
        <v>570</v>
      </c>
    </row>
    <row r="44" spans="1:11" x14ac:dyDescent="0.3">
      <c r="A44" t="s">
        <v>119</v>
      </c>
      <c r="B44" t="s">
        <v>120</v>
      </c>
      <c r="C44" t="s">
        <v>121</v>
      </c>
      <c r="D44" t="s">
        <v>47</v>
      </c>
      <c r="E44" t="s">
        <v>26</v>
      </c>
      <c r="F44">
        <v>12</v>
      </c>
      <c r="G44">
        <v>20</v>
      </c>
      <c r="H44" s="4">
        <v>750</v>
      </c>
      <c r="J44" t="str">
        <f t="shared" si="0"/>
        <v>Low Stock</v>
      </c>
      <c r="K44" s="4">
        <f t="shared" si="1"/>
        <v>9000</v>
      </c>
    </row>
    <row r="45" spans="1:11" hidden="1" x14ac:dyDescent="0.3">
      <c r="A45" t="s">
        <v>122</v>
      </c>
      <c r="B45" t="s">
        <v>123</v>
      </c>
      <c r="C45" t="s">
        <v>121</v>
      </c>
      <c r="D45" t="s">
        <v>19</v>
      </c>
      <c r="E45" t="s">
        <v>32</v>
      </c>
      <c r="F45">
        <v>22</v>
      </c>
      <c r="G45">
        <v>5</v>
      </c>
      <c r="H45" s="4">
        <v>300</v>
      </c>
      <c r="J45" t="str">
        <f t="shared" si="0"/>
        <v>In Stock</v>
      </c>
      <c r="K45" s="4">
        <f t="shared" si="1"/>
        <v>6600</v>
      </c>
    </row>
    <row r="46" spans="1:11" x14ac:dyDescent="0.3">
      <c r="A46" t="s">
        <v>124</v>
      </c>
      <c r="B46" t="s">
        <v>125</v>
      </c>
      <c r="C46" t="s">
        <v>66</v>
      </c>
      <c r="D46" t="s">
        <v>19</v>
      </c>
      <c r="E46" t="s">
        <v>32</v>
      </c>
      <c r="F46">
        <v>5</v>
      </c>
      <c r="G46">
        <v>5</v>
      </c>
      <c r="H46" s="4">
        <v>180</v>
      </c>
      <c r="J46" t="str">
        <f t="shared" si="0"/>
        <v>Low Stock</v>
      </c>
      <c r="K46" s="4">
        <f t="shared" si="1"/>
        <v>900</v>
      </c>
    </row>
    <row r="47" spans="1:11" hidden="1" x14ac:dyDescent="0.3">
      <c r="A47" t="s">
        <v>126</v>
      </c>
      <c r="B47" t="s">
        <v>127</v>
      </c>
      <c r="C47" t="s">
        <v>66</v>
      </c>
      <c r="D47" t="s">
        <v>16</v>
      </c>
      <c r="E47" t="s">
        <v>23</v>
      </c>
      <c r="F47">
        <v>68</v>
      </c>
      <c r="G47">
        <v>15</v>
      </c>
      <c r="H47" s="4">
        <v>850</v>
      </c>
      <c r="J47" t="str">
        <f t="shared" si="0"/>
        <v>In Stock</v>
      </c>
      <c r="K47" s="4">
        <f t="shared" si="1"/>
        <v>57800</v>
      </c>
    </row>
    <row r="48" spans="1:11" hidden="1" x14ac:dyDescent="0.3">
      <c r="A48" t="s">
        <v>128</v>
      </c>
      <c r="B48" t="s">
        <v>129</v>
      </c>
      <c r="C48" t="s">
        <v>66</v>
      </c>
      <c r="D48" t="s">
        <v>19</v>
      </c>
      <c r="E48" t="s">
        <v>23</v>
      </c>
      <c r="F48">
        <v>44</v>
      </c>
      <c r="G48">
        <v>15</v>
      </c>
      <c r="H48" s="4">
        <v>2400</v>
      </c>
      <c r="J48" t="str">
        <f t="shared" si="0"/>
        <v>In Stock</v>
      </c>
      <c r="K48" s="4">
        <f t="shared" si="1"/>
        <v>105600</v>
      </c>
    </row>
    <row r="49" spans="1:11" hidden="1" x14ac:dyDescent="0.3">
      <c r="A49" t="s">
        <v>130</v>
      </c>
      <c r="B49" t="s">
        <v>131</v>
      </c>
      <c r="C49" t="s">
        <v>132</v>
      </c>
      <c r="D49" t="s">
        <v>11</v>
      </c>
      <c r="E49" t="s">
        <v>23</v>
      </c>
      <c r="F49">
        <v>79</v>
      </c>
      <c r="G49">
        <v>8</v>
      </c>
      <c r="H49" s="4">
        <v>8500</v>
      </c>
      <c r="J49" t="str">
        <f t="shared" si="0"/>
        <v>In Stock</v>
      </c>
      <c r="K49" s="4">
        <f t="shared" si="1"/>
        <v>671500</v>
      </c>
    </row>
    <row r="50" spans="1:11" x14ac:dyDescent="0.3">
      <c r="A50" t="s">
        <v>133</v>
      </c>
      <c r="B50" t="s">
        <v>134</v>
      </c>
      <c r="C50" t="s">
        <v>132</v>
      </c>
      <c r="D50" t="s">
        <v>11</v>
      </c>
      <c r="E50" t="s">
        <v>23</v>
      </c>
      <c r="F50">
        <v>1</v>
      </c>
      <c r="G50">
        <v>8</v>
      </c>
      <c r="H50" s="4">
        <v>7200</v>
      </c>
      <c r="J50" t="str">
        <f t="shared" si="0"/>
        <v>Low Stock</v>
      </c>
      <c r="K50" s="4">
        <f t="shared" si="1"/>
        <v>7200</v>
      </c>
    </row>
    <row r="51" spans="1:11" hidden="1" x14ac:dyDescent="0.3">
      <c r="A51" t="s">
        <v>135</v>
      </c>
      <c r="B51" t="s">
        <v>136</v>
      </c>
      <c r="C51" t="s">
        <v>132</v>
      </c>
      <c r="D51" t="s">
        <v>19</v>
      </c>
      <c r="E51" t="s">
        <v>23</v>
      </c>
      <c r="F51">
        <v>64</v>
      </c>
      <c r="G51">
        <v>10</v>
      </c>
      <c r="H51" s="4">
        <v>3600</v>
      </c>
      <c r="J51" t="str">
        <f t="shared" si="0"/>
        <v>In Stock</v>
      </c>
      <c r="K51" s="4">
        <f t="shared" si="1"/>
        <v>230400</v>
      </c>
    </row>
    <row r="52" spans="1:11" hidden="1" x14ac:dyDescent="0.3">
      <c r="A52" t="s">
        <v>137</v>
      </c>
      <c r="B52" t="s">
        <v>138</v>
      </c>
      <c r="C52" t="s">
        <v>10</v>
      </c>
      <c r="D52" t="s">
        <v>72</v>
      </c>
      <c r="E52" t="s">
        <v>23</v>
      </c>
      <c r="F52">
        <v>38</v>
      </c>
      <c r="G52">
        <v>8</v>
      </c>
      <c r="H52" s="4">
        <v>45000</v>
      </c>
      <c r="J52" t="str">
        <f t="shared" si="0"/>
        <v>In Stock</v>
      </c>
      <c r="K52" s="4">
        <f t="shared" si="1"/>
        <v>1710000</v>
      </c>
    </row>
    <row r="53" spans="1:11" x14ac:dyDescent="0.3">
      <c r="A53" t="s">
        <v>139</v>
      </c>
      <c r="B53" t="s">
        <v>140</v>
      </c>
      <c r="C53" t="s">
        <v>15</v>
      </c>
      <c r="D53" t="s">
        <v>72</v>
      </c>
      <c r="E53" t="s">
        <v>32</v>
      </c>
      <c r="F53">
        <v>3</v>
      </c>
      <c r="G53">
        <v>10</v>
      </c>
      <c r="H53" s="4">
        <v>650</v>
      </c>
      <c r="J53" t="str">
        <f t="shared" si="0"/>
        <v>Low Stock</v>
      </c>
      <c r="K53" s="4">
        <f t="shared" si="1"/>
        <v>1950</v>
      </c>
    </row>
    <row r="54" spans="1:11" hidden="1" x14ac:dyDescent="0.3">
      <c r="A54" t="s">
        <v>141</v>
      </c>
      <c r="B54" t="s">
        <v>142</v>
      </c>
      <c r="C54" t="s">
        <v>15</v>
      </c>
      <c r="D54" t="s">
        <v>16</v>
      </c>
      <c r="E54" t="s">
        <v>12</v>
      </c>
      <c r="F54">
        <v>51</v>
      </c>
      <c r="G54">
        <v>5</v>
      </c>
      <c r="H54" s="4">
        <v>1200</v>
      </c>
      <c r="J54" t="str">
        <f t="shared" si="0"/>
        <v>In Stock</v>
      </c>
      <c r="K54" s="4">
        <f t="shared" si="1"/>
        <v>61200</v>
      </c>
    </row>
    <row r="55" spans="1:11" x14ac:dyDescent="0.3">
      <c r="A55" t="s">
        <v>143</v>
      </c>
      <c r="B55" t="s">
        <v>144</v>
      </c>
      <c r="C55" t="s">
        <v>10</v>
      </c>
      <c r="D55" t="s">
        <v>47</v>
      </c>
      <c r="E55" t="s">
        <v>26</v>
      </c>
      <c r="F55">
        <v>12</v>
      </c>
      <c r="G55">
        <v>12</v>
      </c>
      <c r="H55" s="4">
        <v>12500</v>
      </c>
      <c r="J55" t="str">
        <f t="shared" si="0"/>
        <v>Low Stock</v>
      </c>
      <c r="K55" s="4">
        <f t="shared" si="1"/>
        <v>150000</v>
      </c>
    </row>
    <row r="56" spans="1:11" hidden="1" x14ac:dyDescent="0.3">
      <c r="A56" t="s">
        <v>145</v>
      </c>
      <c r="B56" t="s">
        <v>146</v>
      </c>
      <c r="C56" t="s">
        <v>10</v>
      </c>
      <c r="D56" t="s">
        <v>22</v>
      </c>
      <c r="E56" t="s">
        <v>12</v>
      </c>
      <c r="F56">
        <v>59</v>
      </c>
      <c r="G56">
        <v>20</v>
      </c>
      <c r="H56" s="4">
        <v>9500</v>
      </c>
      <c r="J56" t="str">
        <f t="shared" si="0"/>
        <v>In Stock</v>
      </c>
      <c r="K56" s="4">
        <f t="shared" si="1"/>
        <v>560500</v>
      </c>
    </row>
    <row r="57" spans="1:11" x14ac:dyDescent="0.3">
      <c r="A57" t="s">
        <v>147</v>
      </c>
      <c r="B57" t="s">
        <v>148</v>
      </c>
      <c r="C57" t="s">
        <v>29</v>
      </c>
      <c r="D57" t="s">
        <v>81</v>
      </c>
      <c r="E57" t="s">
        <v>26</v>
      </c>
      <c r="F57">
        <v>3</v>
      </c>
      <c r="G57">
        <v>12</v>
      </c>
      <c r="H57" s="4">
        <v>450</v>
      </c>
      <c r="J57" t="str">
        <f t="shared" si="0"/>
        <v>Low Stock</v>
      </c>
      <c r="K57" s="4">
        <f t="shared" si="1"/>
        <v>1350</v>
      </c>
    </row>
    <row r="58" spans="1:11" hidden="1" x14ac:dyDescent="0.3">
      <c r="A58" t="s">
        <v>149</v>
      </c>
      <c r="B58" t="s">
        <v>150</v>
      </c>
      <c r="C58" t="s">
        <v>15</v>
      </c>
      <c r="D58" t="s">
        <v>11</v>
      </c>
      <c r="E58" t="s">
        <v>12</v>
      </c>
      <c r="F58">
        <v>26</v>
      </c>
      <c r="G58">
        <v>15</v>
      </c>
      <c r="H58" s="4">
        <v>1800</v>
      </c>
      <c r="J58" t="str">
        <f t="shared" si="0"/>
        <v>In Stock</v>
      </c>
      <c r="K58" s="4">
        <f t="shared" si="1"/>
        <v>46800</v>
      </c>
    </row>
    <row r="59" spans="1:11" hidden="1" x14ac:dyDescent="0.3">
      <c r="A59" t="s">
        <v>151</v>
      </c>
      <c r="B59" t="s">
        <v>152</v>
      </c>
      <c r="C59" t="s">
        <v>10</v>
      </c>
      <c r="D59" t="s">
        <v>58</v>
      </c>
      <c r="E59" t="s">
        <v>32</v>
      </c>
      <c r="F59">
        <v>14</v>
      </c>
      <c r="G59">
        <v>8</v>
      </c>
      <c r="H59" s="4">
        <v>2300</v>
      </c>
      <c r="J59" t="str">
        <f t="shared" si="0"/>
        <v>In Stock</v>
      </c>
      <c r="K59" s="4">
        <f t="shared" si="1"/>
        <v>32200</v>
      </c>
    </row>
    <row r="60" spans="1:11" hidden="1" x14ac:dyDescent="0.3">
      <c r="A60" t="s">
        <v>153</v>
      </c>
      <c r="B60" t="s">
        <v>154</v>
      </c>
      <c r="C60" t="s">
        <v>37</v>
      </c>
      <c r="D60" t="s">
        <v>47</v>
      </c>
      <c r="E60" t="s">
        <v>32</v>
      </c>
      <c r="F60">
        <v>70</v>
      </c>
      <c r="G60">
        <v>5</v>
      </c>
      <c r="H60" s="4">
        <v>3200</v>
      </c>
      <c r="J60" t="str">
        <f t="shared" si="0"/>
        <v>In Stock</v>
      </c>
      <c r="K60" s="4">
        <f t="shared" si="1"/>
        <v>224000</v>
      </c>
    </row>
    <row r="61" spans="1:11" hidden="1" x14ac:dyDescent="0.3">
      <c r="A61" t="s">
        <v>155</v>
      </c>
      <c r="B61" t="s">
        <v>156</v>
      </c>
      <c r="C61" t="s">
        <v>29</v>
      </c>
      <c r="D61" t="s">
        <v>58</v>
      </c>
      <c r="E61" t="s">
        <v>32</v>
      </c>
      <c r="F61">
        <v>65</v>
      </c>
      <c r="G61">
        <v>8</v>
      </c>
      <c r="H61" s="4">
        <v>6500</v>
      </c>
      <c r="J61" t="str">
        <f t="shared" si="0"/>
        <v>In Stock</v>
      </c>
      <c r="K61" s="4">
        <f t="shared" si="1"/>
        <v>422500</v>
      </c>
    </row>
    <row r="62" spans="1:11" hidden="1" x14ac:dyDescent="0.3">
      <c r="A62" t="s">
        <v>157</v>
      </c>
      <c r="B62" t="s">
        <v>158</v>
      </c>
      <c r="C62" t="s">
        <v>29</v>
      </c>
      <c r="D62" t="s">
        <v>58</v>
      </c>
      <c r="E62" t="s">
        <v>26</v>
      </c>
      <c r="F62">
        <v>61</v>
      </c>
      <c r="G62">
        <v>20</v>
      </c>
      <c r="H62" s="4">
        <v>5200</v>
      </c>
      <c r="J62" t="str">
        <f t="shared" si="0"/>
        <v>In Stock</v>
      </c>
      <c r="K62" s="4">
        <f t="shared" si="1"/>
        <v>317200</v>
      </c>
    </row>
    <row r="63" spans="1:11" hidden="1" x14ac:dyDescent="0.3">
      <c r="A63" t="s">
        <v>159</v>
      </c>
      <c r="B63" t="s">
        <v>160</v>
      </c>
      <c r="C63" t="s">
        <v>15</v>
      </c>
      <c r="D63" t="s">
        <v>47</v>
      </c>
      <c r="E63" t="s">
        <v>23</v>
      </c>
      <c r="F63">
        <v>24</v>
      </c>
      <c r="G63">
        <v>5</v>
      </c>
      <c r="H63" s="4">
        <v>900</v>
      </c>
      <c r="J63" t="str">
        <f t="shared" si="0"/>
        <v>In Stock</v>
      </c>
      <c r="K63" s="4">
        <f t="shared" si="1"/>
        <v>21600</v>
      </c>
    </row>
    <row r="64" spans="1:11" x14ac:dyDescent="0.3">
      <c r="A64" t="s">
        <v>161</v>
      </c>
      <c r="B64" t="s">
        <v>162</v>
      </c>
      <c r="C64" t="s">
        <v>46</v>
      </c>
      <c r="D64" t="s">
        <v>81</v>
      </c>
      <c r="E64" t="s">
        <v>12</v>
      </c>
      <c r="F64">
        <v>4</v>
      </c>
      <c r="G64">
        <v>5</v>
      </c>
      <c r="H64" s="4">
        <v>350</v>
      </c>
      <c r="J64" t="str">
        <f t="shared" si="0"/>
        <v>Low Stock</v>
      </c>
      <c r="K64" s="4">
        <f t="shared" si="1"/>
        <v>1400</v>
      </c>
    </row>
    <row r="65" spans="1:11" hidden="1" x14ac:dyDescent="0.3">
      <c r="A65" t="s">
        <v>163</v>
      </c>
      <c r="B65" t="s">
        <v>164</v>
      </c>
      <c r="C65" t="s">
        <v>46</v>
      </c>
      <c r="D65" t="s">
        <v>19</v>
      </c>
      <c r="E65" t="s">
        <v>32</v>
      </c>
      <c r="F65">
        <v>40</v>
      </c>
      <c r="G65">
        <v>5</v>
      </c>
      <c r="H65" s="4">
        <v>250</v>
      </c>
      <c r="J65" t="str">
        <f t="shared" si="0"/>
        <v>In Stock</v>
      </c>
      <c r="K65" s="4">
        <f t="shared" si="1"/>
        <v>10000</v>
      </c>
    </row>
    <row r="66" spans="1:11" hidden="1" x14ac:dyDescent="0.3">
      <c r="A66" t="s">
        <v>165</v>
      </c>
      <c r="B66" t="s">
        <v>166</v>
      </c>
      <c r="C66" t="s">
        <v>15</v>
      </c>
      <c r="D66" t="s">
        <v>58</v>
      </c>
      <c r="E66" t="s">
        <v>32</v>
      </c>
      <c r="F66">
        <v>76</v>
      </c>
      <c r="G66">
        <v>5</v>
      </c>
      <c r="H66" s="4">
        <v>1600</v>
      </c>
      <c r="J66" t="str">
        <f t="shared" si="0"/>
        <v>In Stock</v>
      </c>
      <c r="K66" s="4">
        <f t="shared" si="1"/>
        <v>121600</v>
      </c>
    </row>
    <row r="67" spans="1:11" hidden="1" x14ac:dyDescent="0.3">
      <c r="A67" t="s">
        <v>167</v>
      </c>
      <c r="B67" t="s">
        <v>168</v>
      </c>
      <c r="C67" t="s">
        <v>10</v>
      </c>
      <c r="D67" t="s">
        <v>72</v>
      </c>
      <c r="E67" t="s">
        <v>23</v>
      </c>
      <c r="F67">
        <v>68</v>
      </c>
      <c r="G67">
        <v>20</v>
      </c>
      <c r="H67" s="4">
        <v>22000</v>
      </c>
      <c r="J67" t="str">
        <f t="shared" ref="J67:J101" si="2">IF(F67&lt;=G67,"Low Stock","In Stock")</f>
        <v>In Stock</v>
      </c>
      <c r="K67" s="4">
        <f t="shared" ref="K67:K101" si="3">F67*H67</f>
        <v>1496000</v>
      </c>
    </row>
    <row r="68" spans="1:11" hidden="1" x14ac:dyDescent="0.3">
      <c r="A68" t="s">
        <v>169</v>
      </c>
      <c r="B68" t="s">
        <v>170</v>
      </c>
      <c r="C68" t="s">
        <v>10</v>
      </c>
      <c r="D68" t="s">
        <v>22</v>
      </c>
      <c r="E68" t="s">
        <v>12</v>
      </c>
      <c r="F68">
        <v>69</v>
      </c>
      <c r="G68">
        <v>5</v>
      </c>
      <c r="H68" s="4">
        <v>18000</v>
      </c>
      <c r="J68" t="str">
        <f t="shared" si="2"/>
        <v>In Stock</v>
      </c>
      <c r="K68" s="4">
        <f t="shared" si="3"/>
        <v>1242000</v>
      </c>
    </row>
    <row r="69" spans="1:11" hidden="1" x14ac:dyDescent="0.3">
      <c r="A69" t="s">
        <v>171</v>
      </c>
      <c r="B69" t="s">
        <v>172</v>
      </c>
      <c r="C69" t="s">
        <v>10</v>
      </c>
      <c r="D69" t="s">
        <v>47</v>
      </c>
      <c r="E69" t="s">
        <v>26</v>
      </c>
      <c r="F69">
        <v>80</v>
      </c>
      <c r="G69">
        <v>25</v>
      </c>
      <c r="H69" s="4">
        <v>28000</v>
      </c>
      <c r="J69" t="str">
        <f t="shared" si="2"/>
        <v>In Stock</v>
      </c>
      <c r="K69" s="4">
        <f t="shared" si="3"/>
        <v>2240000</v>
      </c>
    </row>
    <row r="70" spans="1:11" hidden="1" x14ac:dyDescent="0.3">
      <c r="A70" t="s">
        <v>173</v>
      </c>
      <c r="B70" t="s">
        <v>174</v>
      </c>
      <c r="C70" t="s">
        <v>61</v>
      </c>
      <c r="D70" t="s">
        <v>47</v>
      </c>
      <c r="E70" t="s">
        <v>26</v>
      </c>
      <c r="F70">
        <v>35</v>
      </c>
      <c r="G70">
        <v>10</v>
      </c>
      <c r="H70" s="4">
        <v>1400</v>
      </c>
      <c r="J70" t="str">
        <f t="shared" si="2"/>
        <v>In Stock</v>
      </c>
      <c r="K70" s="4">
        <f t="shared" si="3"/>
        <v>49000</v>
      </c>
    </row>
    <row r="71" spans="1:11" x14ac:dyDescent="0.3">
      <c r="A71" t="s">
        <v>175</v>
      </c>
      <c r="B71" t="s">
        <v>176</v>
      </c>
      <c r="C71" t="s">
        <v>61</v>
      </c>
      <c r="D71" t="s">
        <v>47</v>
      </c>
      <c r="E71" t="s">
        <v>26</v>
      </c>
      <c r="F71">
        <v>1</v>
      </c>
      <c r="G71">
        <v>8</v>
      </c>
      <c r="H71" s="4">
        <v>3800</v>
      </c>
      <c r="J71" t="str">
        <f t="shared" si="2"/>
        <v>Low Stock</v>
      </c>
      <c r="K71" s="4">
        <f t="shared" si="3"/>
        <v>3800</v>
      </c>
    </row>
    <row r="72" spans="1:11" hidden="1" x14ac:dyDescent="0.3">
      <c r="A72" t="s">
        <v>177</v>
      </c>
      <c r="B72" t="s">
        <v>178</v>
      </c>
      <c r="C72" t="s">
        <v>66</v>
      </c>
      <c r="D72" t="s">
        <v>22</v>
      </c>
      <c r="E72" t="s">
        <v>32</v>
      </c>
      <c r="F72">
        <v>16</v>
      </c>
      <c r="G72">
        <v>12</v>
      </c>
      <c r="H72" s="4">
        <v>1100</v>
      </c>
      <c r="J72" t="str">
        <f t="shared" si="2"/>
        <v>In Stock</v>
      </c>
      <c r="K72" s="4">
        <f t="shared" si="3"/>
        <v>17600</v>
      </c>
    </row>
    <row r="73" spans="1:11" x14ac:dyDescent="0.3">
      <c r="A73" t="s">
        <v>179</v>
      </c>
      <c r="B73" t="s">
        <v>180</v>
      </c>
      <c r="C73" t="s">
        <v>66</v>
      </c>
      <c r="D73" t="s">
        <v>47</v>
      </c>
      <c r="E73" t="s">
        <v>12</v>
      </c>
      <c r="F73">
        <v>10</v>
      </c>
      <c r="G73">
        <v>10</v>
      </c>
      <c r="H73" s="4">
        <v>4800</v>
      </c>
      <c r="J73" t="str">
        <f t="shared" si="2"/>
        <v>Low Stock</v>
      </c>
      <c r="K73" s="4">
        <f t="shared" si="3"/>
        <v>48000</v>
      </c>
    </row>
    <row r="74" spans="1:11" hidden="1" x14ac:dyDescent="0.3">
      <c r="A74" t="s">
        <v>181</v>
      </c>
      <c r="B74" t="s">
        <v>182</v>
      </c>
      <c r="C74" t="s">
        <v>71</v>
      </c>
      <c r="D74" t="s">
        <v>19</v>
      </c>
      <c r="E74" t="s">
        <v>26</v>
      </c>
      <c r="F74">
        <v>78</v>
      </c>
      <c r="G74">
        <v>15</v>
      </c>
      <c r="H74" s="4">
        <v>2400</v>
      </c>
      <c r="J74" t="str">
        <f t="shared" si="2"/>
        <v>In Stock</v>
      </c>
      <c r="K74" s="4">
        <f t="shared" si="3"/>
        <v>187200</v>
      </c>
    </row>
    <row r="75" spans="1:11" hidden="1" x14ac:dyDescent="0.3">
      <c r="A75" t="s">
        <v>183</v>
      </c>
      <c r="B75" t="s">
        <v>184</v>
      </c>
      <c r="C75" t="s">
        <v>71</v>
      </c>
      <c r="D75" t="s">
        <v>19</v>
      </c>
      <c r="E75" t="s">
        <v>26</v>
      </c>
      <c r="F75">
        <v>47</v>
      </c>
      <c r="G75">
        <v>5</v>
      </c>
      <c r="H75" s="4">
        <v>1900</v>
      </c>
      <c r="J75" t="str">
        <f t="shared" si="2"/>
        <v>In Stock</v>
      </c>
      <c r="K75" s="4">
        <f t="shared" si="3"/>
        <v>89300</v>
      </c>
    </row>
    <row r="76" spans="1:11" hidden="1" x14ac:dyDescent="0.3">
      <c r="A76" t="s">
        <v>185</v>
      </c>
      <c r="B76" t="s">
        <v>186</v>
      </c>
      <c r="C76" t="s">
        <v>29</v>
      </c>
      <c r="D76" t="s">
        <v>72</v>
      </c>
      <c r="E76" t="s">
        <v>23</v>
      </c>
      <c r="F76">
        <v>43</v>
      </c>
      <c r="G76">
        <v>20</v>
      </c>
      <c r="H76" s="4">
        <v>950</v>
      </c>
      <c r="J76" t="str">
        <f t="shared" si="2"/>
        <v>In Stock</v>
      </c>
      <c r="K76" s="4">
        <f t="shared" si="3"/>
        <v>40850</v>
      </c>
    </row>
    <row r="77" spans="1:11" hidden="1" x14ac:dyDescent="0.3">
      <c r="A77" t="s">
        <v>187</v>
      </c>
      <c r="B77" t="s">
        <v>188</v>
      </c>
      <c r="C77" t="s">
        <v>80</v>
      </c>
      <c r="D77" t="s">
        <v>22</v>
      </c>
      <c r="E77" t="s">
        <v>32</v>
      </c>
      <c r="F77">
        <v>22</v>
      </c>
      <c r="G77">
        <v>15</v>
      </c>
      <c r="H77" s="4">
        <v>3200</v>
      </c>
      <c r="J77" t="str">
        <f t="shared" si="2"/>
        <v>In Stock</v>
      </c>
      <c r="K77" s="4">
        <f t="shared" si="3"/>
        <v>70400</v>
      </c>
    </row>
    <row r="78" spans="1:11" x14ac:dyDescent="0.3">
      <c r="A78" t="s">
        <v>189</v>
      </c>
      <c r="B78" t="s">
        <v>190</v>
      </c>
      <c r="C78" t="s">
        <v>80</v>
      </c>
      <c r="D78" t="s">
        <v>16</v>
      </c>
      <c r="E78" t="s">
        <v>12</v>
      </c>
      <c r="F78">
        <v>10</v>
      </c>
      <c r="G78">
        <v>20</v>
      </c>
      <c r="H78" s="4">
        <v>35000</v>
      </c>
      <c r="J78" t="str">
        <f t="shared" si="2"/>
        <v>Low Stock</v>
      </c>
      <c r="K78" s="4">
        <f t="shared" si="3"/>
        <v>350000</v>
      </c>
    </row>
    <row r="79" spans="1:11" hidden="1" x14ac:dyDescent="0.3">
      <c r="A79" t="s">
        <v>191</v>
      </c>
      <c r="B79" t="s">
        <v>192</v>
      </c>
      <c r="C79" t="s">
        <v>80</v>
      </c>
      <c r="D79" t="s">
        <v>19</v>
      </c>
      <c r="E79" t="s">
        <v>12</v>
      </c>
      <c r="F79">
        <v>11</v>
      </c>
      <c r="G79">
        <v>5</v>
      </c>
      <c r="H79" s="4">
        <v>2600</v>
      </c>
      <c r="J79" t="str">
        <f t="shared" si="2"/>
        <v>In Stock</v>
      </c>
      <c r="K79" s="4">
        <f t="shared" si="3"/>
        <v>28600</v>
      </c>
    </row>
    <row r="80" spans="1:11" hidden="1" x14ac:dyDescent="0.3">
      <c r="A80" t="s">
        <v>193</v>
      </c>
      <c r="B80" t="s">
        <v>194</v>
      </c>
      <c r="C80" t="s">
        <v>80</v>
      </c>
      <c r="D80" t="s">
        <v>11</v>
      </c>
      <c r="E80" t="s">
        <v>26</v>
      </c>
      <c r="F80">
        <v>40</v>
      </c>
      <c r="G80">
        <v>15</v>
      </c>
      <c r="H80" s="4">
        <v>12500</v>
      </c>
      <c r="J80" t="str">
        <f t="shared" si="2"/>
        <v>In Stock</v>
      </c>
      <c r="K80" s="4">
        <f t="shared" si="3"/>
        <v>500000</v>
      </c>
    </row>
    <row r="81" spans="1:11" hidden="1" x14ac:dyDescent="0.3">
      <c r="A81" t="s">
        <v>195</v>
      </c>
      <c r="B81" t="s">
        <v>196</v>
      </c>
      <c r="C81" t="s">
        <v>15</v>
      </c>
      <c r="D81" t="s">
        <v>11</v>
      </c>
      <c r="E81" t="s">
        <v>23</v>
      </c>
      <c r="F81">
        <v>31</v>
      </c>
      <c r="G81">
        <v>20</v>
      </c>
      <c r="H81" s="4">
        <v>7200</v>
      </c>
      <c r="J81" t="str">
        <f t="shared" si="2"/>
        <v>In Stock</v>
      </c>
      <c r="K81" s="4">
        <f t="shared" si="3"/>
        <v>223200</v>
      </c>
    </row>
    <row r="82" spans="1:11" x14ac:dyDescent="0.3">
      <c r="A82" t="s">
        <v>197</v>
      </c>
      <c r="B82" t="s">
        <v>198</v>
      </c>
      <c r="C82" t="s">
        <v>92</v>
      </c>
      <c r="D82" t="s">
        <v>11</v>
      </c>
      <c r="E82" t="s">
        <v>23</v>
      </c>
      <c r="F82">
        <v>25</v>
      </c>
      <c r="G82">
        <v>25</v>
      </c>
      <c r="H82" s="4">
        <v>4200</v>
      </c>
      <c r="J82" t="str">
        <f t="shared" si="2"/>
        <v>Low Stock</v>
      </c>
      <c r="K82" s="4">
        <f t="shared" si="3"/>
        <v>105000</v>
      </c>
    </row>
    <row r="83" spans="1:11" hidden="1" x14ac:dyDescent="0.3">
      <c r="A83" t="s">
        <v>199</v>
      </c>
      <c r="B83" t="s">
        <v>200</v>
      </c>
      <c r="C83" t="s">
        <v>92</v>
      </c>
      <c r="D83" t="s">
        <v>47</v>
      </c>
      <c r="E83" t="s">
        <v>32</v>
      </c>
      <c r="F83">
        <v>9</v>
      </c>
      <c r="G83">
        <v>8</v>
      </c>
      <c r="H83" s="4">
        <v>6800</v>
      </c>
      <c r="J83" t="str">
        <f t="shared" si="2"/>
        <v>In Stock</v>
      </c>
      <c r="K83" s="4">
        <f t="shared" si="3"/>
        <v>61200</v>
      </c>
    </row>
    <row r="84" spans="1:11" x14ac:dyDescent="0.3">
      <c r="A84" t="s">
        <v>201</v>
      </c>
      <c r="B84" t="s">
        <v>202</v>
      </c>
      <c r="C84" t="s">
        <v>97</v>
      </c>
      <c r="D84" t="s">
        <v>118</v>
      </c>
      <c r="E84" t="s">
        <v>12</v>
      </c>
      <c r="F84">
        <v>4</v>
      </c>
      <c r="G84">
        <v>15</v>
      </c>
      <c r="H84" s="4">
        <v>6500</v>
      </c>
      <c r="J84" t="str">
        <f t="shared" si="2"/>
        <v>Low Stock</v>
      </c>
      <c r="K84" s="4">
        <f t="shared" si="3"/>
        <v>26000</v>
      </c>
    </row>
    <row r="85" spans="1:11" x14ac:dyDescent="0.3">
      <c r="A85" t="s">
        <v>203</v>
      </c>
      <c r="B85" t="s">
        <v>204</v>
      </c>
      <c r="C85" t="s">
        <v>97</v>
      </c>
      <c r="D85" t="s">
        <v>22</v>
      </c>
      <c r="E85" t="s">
        <v>26</v>
      </c>
      <c r="F85">
        <v>5</v>
      </c>
      <c r="G85">
        <v>15</v>
      </c>
      <c r="H85" s="4">
        <v>9800</v>
      </c>
      <c r="J85" t="str">
        <f t="shared" si="2"/>
        <v>Low Stock</v>
      </c>
      <c r="K85" s="4">
        <f t="shared" si="3"/>
        <v>49000</v>
      </c>
    </row>
    <row r="86" spans="1:11" hidden="1" x14ac:dyDescent="0.3">
      <c r="A86" t="s">
        <v>205</v>
      </c>
      <c r="B86" t="s">
        <v>206</v>
      </c>
      <c r="C86" t="s">
        <v>97</v>
      </c>
      <c r="D86" t="s">
        <v>118</v>
      </c>
      <c r="E86" t="s">
        <v>32</v>
      </c>
      <c r="F86">
        <v>64</v>
      </c>
      <c r="G86">
        <v>5</v>
      </c>
      <c r="H86" s="4">
        <v>5400</v>
      </c>
      <c r="J86" t="str">
        <f t="shared" si="2"/>
        <v>In Stock</v>
      </c>
      <c r="K86" s="4">
        <f t="shared" si="3"/>
        <v>345600</v>
      </c>
    </row>
    <row r="87" spans="1:11" hidden="1" x14ac:dyDescent="0.3">
      <c r="A87" t="s">
        <v>207</v>
      </c>
      <c r="B87" t="s">
        <v>208</v>
      </c>
      <c r="C87" t="s">
        <v>104</v>
      </c>
      <c r="D87" t="s">
        <v>47</v>
      </c>
      <c r="E87" t="s">
        <v>32</v>
      </c>
      <c r="F87">
        <v>35</v>
      </c>
      <c r="G87">
        <v>8</v>
      </c>
      <c r="H87" s="4">
        <v>180</v>
      </c>
      <c r="J87" t="str">
        <f t="shared" si="2"/>
        <v>In Stock</v>
      </c>
      <c r="K87" s="4">
        <f t="shared" si="3"/>
        <v>6300</v>
      </c>
    </row>
    <row r="88" spans="1:11" x14ac:dyDescent="0.3">
      <c r="A88" t="s">
        <v>209</v>
      </c>
      <c r="B88" t="s">
        <v>210</v>
      </c>
      <c r="C88" t="s">
        <v>104</v>
      </c>
      <c r="D88" t="s">
        <v>118</v>
      </c>
      <c r="E88" t="s">
        <v>32</v>
      </c>
      <c r="F88">
        <v>2</v>
      </c>
      <c r="G88">
        <v>8</v>
      </c>
      <c r="H88" s="4">
        <v>120</v>
      </c>
      <c r="J88" t="str">
        <f t="shared" si="2"/>
        <v>Low Stock</v>
      </c>
      <c r="K88" s="4">
        <f t="shared" si="3"/>
        <v>240</v>
      </c>
    </row>
    <row r="89" spans="1:11" hidden="1" x14ac:dyDescent="0.3">
      <c r="A89" t="s">
        <v>211</v>
      </c>
      <c r="B89" t="s">
        <v>212</v>
      </c>
      <c r="C89" t="s">
        <v>104</v>
      </c>
      <c r="D89" t="s">
        <v>81</v>
      </c>
      <c r="E89" t="s">
        <v>23</v>
      </c>
      <c r="F89">
        <v>23</v>
      </c>
      <c r="G89">
        <v>12</v>
      </c>
      <c r="H89" s="4">
        <v>250</v>
      </c>
      <c r="J89" t="str">
        <f t="shared" si="2"/>
        <v>In Stock</v>
      </c>
      <c r="K89" s="4">
        <f t="shared" si="3"/>
        <v>5750</v>
      </c>
    </row>
    <row r="90" spans="1:11" hidden="1" x14ac:dyDescent="0.3">
      <c r="A90" t="s">
        <v>213</v>
      </c>
      <c r="B90" t="s">
        <v>214</v>
      </c>
      <c r="C90" t="s">
        <v>104</v>
      </c>
      <c r="D90" t="s">
        <v>11</v>
      </c>
      <c r="E90" t="s">
        <v>23</v>
      </c>
      <c r="F90">
        <v>78</v>
      </c>
      <c r="G90">
        <v>8</v>
      </c>
      <c r="H90" s="4">
        <v>320</v>
      </c>
      <c r="J90" t="str">
        <f t="shared" si="2"/>
        <v>In Stock</v>
      </c>
      <c r="K90" s="4">
        <f t="shared" si="3"/>
        <v>24960</v>
      </c>
    </row>
    <row r="91" spans="1:11" x14ac:dyDescent="0.3">
      <c r="A91" t="s">
        <v>215</v>
      </c>
      <c r="B91" t="s">
        <v>216</v>
      </c>
      <c r="C91" t="s">
        <v>104</v>
      </c>
      <c r="D91" t="s">
        <v>75</v>
      </c>
      <c r="E91" t="s">
        <v>23</v>
      </c>
      <c r="F91">
        <v>20</v>
      </c>
      <c r="G91">
        <v>20</v>
      </c>
      <c r="H91" s="4">
        <v>220</v>
      </c>
      <c r="J91" t="str">
        <f t="shared" si="2"/>
        <v>Low Stock</v>
      </c>
      <c r="K91" s="4">
        <f t="shared" si="3"/>
        <v>4400</v>
      </c>
    </row>
    <row r="92" spans="1:11" x14ac:dyDescent="0.3">
      <c r="A92" t="s">
        <v>217</v>
      </c>
      <c r="B92" t="s">
        <v>218</v>
      </c>
      <c r="C92" t="s">
        <v>115</v>
      </c>
      <c r="D92" t="s">
        <v>22</v>
      </c>
      <c r="E92" t="s">
        <v>12</v>
      </c>
      <c r="F92">
        <v>18</v>
      </c>
      <c r="G92">
        <v>20</v>
      </c>
      <c r="H92" s="4">
        <v>160</v>
      </c>
      <c r="J92" t="str">
        <f t="shared" si="2"/>
        <v>Low Stock</v>
      </c>
      <c r="K92" s="4">
        <f t="shared" si="3"/>
        <v>2880</v>
      </c>
    </row>
    <row r="93" spans="1:11" hidden="1" x14ac:dyDescent="0.3">
      <c r="A93" t="s">
        <v>219</v>
      </c>
      <c r="B93" t="s">
        <v>220</v>
      </c>
      <c r="C93" t="s">
        <v>115</v>
      </c>
      <c r="D93" t="s">
        <v>118</v>
      </c>
      <c r="E93" t="s">
        <v>32</v>
      </c>
      <c r="F93">
        <v>61</v>
      </c>
      <c r="G93">
        <v>8</v>
      </c>
      <c r="H93" s="4">
        <v>190</v>
      </c>
      <c r="J93" t="str">
        <f t="shared" si="2"/>
        <v>In Stock</v>
      </c>
      <c r="K93" s="4">
        <f t="shared" si="3"/>
        <v>11590</v>
      </c>
    </row>
    <row r="94" spans="1:11" hidden="1" x14ac:dyDescent="0.3">
      <c r="A94" t="s">
        <v>221</v>
      </c>
      <c r="B94" t="s">
        <v>222</v>
      </c>
      <c r="C94" t="s">
        <v>121</v>
      </c>
      <c r="D94" t="s">
        <v>58</v>
      </c>
      <c r="E94" t="s">
        <v>32</v>
      </c>
      <c r="F94">
        <v>73</v>
      </c>
      <c r="G94">
        <v>12</v>
      </c>
      <c r="H94" s="4">
        <v>750</v>
      </c>
      <c r="J94" t="str">
        <f t="shared" si="2"/>
        <v>In Stock</v>
      </c>
      <c r="K94" s="4">
        <f t="shared" si="3"/>
        <v>54750</v>
      </c>
    </row>
    <row r="95" spans="1:11" x14ac:dyDescent="0.3">
      <c r="A95" t="s">
        <v>223</v>
      </c>
      <c r="B95" t="s">
        <v>224</v>
      </c>
      <c r="C95" t="s">
        <v>121</v>
      </c>
      <c r="D95" t="s">
        <v>47</v>
      </c>
      <c r="E95" t="s">
        <v>26</v>
      </c>
      <c r="F95">
        <v>3</v>
      </c>
      <c r="G95">
        <v>20</v>
      </c>
      <c r="H95" s="4">
        <v>300</v>
      </c>
      <c r="J95" t="str">
        <f t="shared" si="2"/>
        <v>Low Stock</v>
      </c>
      <c r="K95" s="4">
        <f t="shared" si="3"/>
        <v>900</v>
      </c>
    </row>
    <row r="96" spans="1:11" hidden="1" x14ac:dyDescent="0.3">
      <c r="A96" t="s">
        <v>225</v>
      </c>
      <c r="B96" t="s">
        <v>226</v>
      </c>
      <c r="C96" t="s">
        <v>66</v>
      </c>
      <c r="D96" t="s">
        <v>58</v>
      </c>
      <c r="E96" t="s">
        <v>26</v>
      </c>
      <c r="F96">
        <v>31</v>
      </c>
      <c r="G96">
        <v>5</v>
      </c>
      <c r="H96" s="4">
        <v>180</v>
      </c>
      <c r="J96" t="str">
        <f t="shared" si="2"/>
        <v>In Stock</v>
      </c>
      <c r="K96" s="4">
        <f t="shared" si="3"/>
        <v>5580</v>
      </c>
    </row>
    <row r="97" spans="1:11" hidden="1" x14ac:dyDescent="0.3">
      <c r="A97" t="s">
        <v>227</v>
      </c>
      <c r="B97" t="s">
        <v>228</v>
      </c>
      <c r="C97" t="s">
        <v>66</v>
      </c>
      <c r="D97" t="s">
        <v>19</v>
      </c>
      <c r="E97" t="s">
        <v>32</v>
      </c>
      <c r="F97">
        <v>78</v>
      </c>
      <c r="G97">
        <v>12</v>
      </c>
      <c r="H97" s="4">
        <v>850</v>
      </c>
      <c r="J97" t="str">
        <f t="shared" si="2"/>
        <v>In Stock</v>
      </c>
      <c r="K97" s="4">
        <f t="shared" si="3"/>
        <v>66300</v>
      </c>
    </row>
    <row r="98" spans="1:11" hidden="1" x14ac:dyDescent="0.3">
      <c r="A98" t="s">
        <v>229</v>
      </c>
      <c r="B98" t="s">
        <v>230</v>
      </c>
      <c r="C98" t="s">
        <v>66</v>
      </c>
      <c r="D98" t="s">
        <v>72</v>
      </c>
      <c r="E98" t="s">
        <v>23</v>
      </c>
      <c r="F98">
        <v>61</v>
      </c>
      <c r="G98">
        <v>5</v>
      </c>
      <c r="H98" s="4">
        <v>2400</v>
      </c>
      <c r="J98" t="str">
        <f t="shared" si="2"/>
        <v>In Stock</v>
      </c>
      <c r="K98" s="4">
        <f t="shared" si="3"/>
        <v>146400</v>
      </c>
    </row>
    <row r="99" spans="1:11" x14ac:dyDescent="0.3">
      <c r="A99" t="s">
        <v>231</v>
      </c>
      <c r="B99" t="s">
        <v>232</v>
      </c>
      <c r="C99" t="s">
        <v>132</v>
      </c>
      <c r="D99" t="s">
        <v>81</v>
      </c>
      <c r="E99" t="s">
        <v>32</v>
      </c>
      <c r="F99">
        <v>1</v>
      </c>
      <c r="G99">
        <v>8</v>
      </c>
      <c r="H99" s="4">
        <v>8500</v>
      </c>
      <c r="J99" t="str">
        <f t="shared" si="2"/>
        <v>Low Stock</v>
      </c>
      <c r="K99" s="4">
        <f t="shared" si="3"/>
        <v>8500</v>
      </c>
    </row>
    <row r="100" spans="1:11" x14ac:dyDescent="0.3">
      <c r="A100" t="s">
        <v>233</v>
      </c>
      <c r="B100" t="s">
        <v>234</v>
      </c>
      <c r="C100" t="s">
        <v>132</v>
      </c>
      <c r="D100" t="s">
        <v>118</v>
      </c>
      <c r="E100" t="s">
        <v>23</v>
      </c>
      <c r="F100">
        <v>12</v>
      </c>
      <c r="G100">
        <v>12</v>
      </c>
      <c r="H100" s="4">
        <v>7200</v>
      </c>
      <c r="J100" t="str">
        <f t="shared" si="2"/>
        <v>Low Stock</v>
      </c>
      <c r="K100" s="4">
        <f t="shared" si="3"/>
        <v>86400</v>
      </c>
    </row>
    <row r="101" spans="1:11" hidden="1" x14ac:dyDescent="0.3">
      <c r="A101" t="s">
        <v>235</v>
      </c>
      <c r="B101" t="s">
        <v>236</v>
      </c>
      <c r="C101" t="s">
        <v>132</v>
      </c>
      <c r="D101" t="s">
        <v>22</v>
      </c>
      <c r="E101" t="s">
        <v>12</v>
      </c>
      <c r="F101">
        <v>18</v>
      </c>
      <c r="G101">
        <v>5</v>
      </c>
      <c r="H101" s="4">
        <v>3600</v>
      </c>
      <c r="J101" t="str">
        <f t="shared" si="2"/>
        <v>In Stock</v>
      </c>
      <c r="K101" s="4">
        <f t="shared" si="3"/>
        <v>64800</v>
      </c>
    </row>
  </sheetData>
  <autoFilter ref="J1:J101" xr:uid="{2CBC1863-3DFA-44E7-BD31-B8CA74E777FA}">
    <filterColumn colId="0">
      <filters>
        <filter val="Low Stock"/>
      </filters>
    </filterColumn>
  </autoFilter>
  <conditionalFormatting sqref="J1:J1048576">
    <cfRule type="containsText" dxfId="1" priority="1" operator="containsText" text="In Stock">
      <formula>NOT(ISERROR(SEARCH("In Stock",J1)))</formula>
    </cfRule>
    <cfRule type="containsText" dxfId="0" priority="2" operator="containsText" text="Low Stock">
      <formula>NOT(ISERROR(SEARCH("Low Stock",J1)))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2460-03B0-4D88-A7FE-CDF08DE4A159}">
  <dimension ref="B2:K141"/>
  <sheetViews>
    <sheetView tabSelected="1" topLeftCell="A17" zoomScale="71" workbookViewId="0">
      <selection activeCell="P36" sqref="P36"/>
    </sheetView>
  </sheetViews>
  <sheetFormatPr defaultRowHeight="14.4" x14ac:dyDescent="0.3"/>
  <cols>
    <col min="1" max="1" width="8.88671875" style="10"/>
    <col min="2" max="2" width="18.88671875" style="10" bestFit="1" customWidth="1"/>
    <col min="3" max="3" width="27.21875" style="10" bestFit="1" customWidth="1"/>
    <col min="4" max="16384" width="8.88671875" style="10"/>
  </cols>
  <sheetData>
    <row r="2" spans="2:3" ht="25.8" x14ac:dyDescent="0.5">
      <c r="B2" s="9" t="s">
        <v>243</v>
      </c>
    </row>
    <row r="4" spans="2:3" x14ac:dyDescent="0.3">
      <c r="B4" s="11" t="s">
        <v>237</v>
      </c>
      <c r="C4" s="10" t="s">
        <v>242</v>
      </c>
    </row>
    <row r="5" spans="2:3" x14ac:dyDescent="0.3">
      <c r="B5" s="12" t="s">
        <v>239</v>
      </c>
      <c r="C5" s="13">
        <v>66</v>
      </c>
    </row>
    <row r="6" spans="2:3" x14ac:dyDescent="0.3">
      <c r="B6" s="12" t="s">
        <v>240</v>
      </c>
      <c r="C6" s="13">
        <v>34</v>
      </c>
    </row>
    <row r="7" spans="2:3" x14ac:dyDescent="0.3">
      <c r="B7" s="12" t="s">
        <v>241</v>
      </c>
      <c r="C7" s="13">
        <v>100</v>
      </c>
    </row>
    <row r="19" spans="2:11" ht="25.8" x14ac:dyDescent="0.5">
      <c r="B19" s="9" t="s">
        <v>244</v>
      </c>
      <c r="K19" s="9"/>
    </row>
    <row r="21" spans="2:11" x14ac:dyDescent="0.3">
      <c r="B21" s="6" t="s">
        <v>1</v>
      </c>
      <c r="C21" t="s">
        <v>246</v>
      </c>
      <c r="D21"/>
    </row>
    <row r="22" spans="2:11" x14ac:dyDescent="0.3">
      <c r="B22" s="7" t="s">
        <v>131</v>
      </c>
      <c r="C22" s="8">
        <v>79</v>
      </c>
      <c r="D22"/>
    </row>
    <row r="23" spans="2:11" x14ac:dyDescent="0.3">
      <c r="B23" s="7" t="s">
        <v>228</v>
      </c>
      <c r="C23" s="8">
        <v>78</v>
      </c>
      <c r="D23"/>
    </row>
    <row r="24" spans="2:11" x14ac:dyDescent="0.3">
      <c r="B24" s="7" t="s">
        <v>222</v>
      </c>
      <c r="C24" s="8">
        <v>73</v>
      </c>
      <c r="D24"/>
    </row>
    <row r="25" spans="2:11" x14ac:dyDescent="0.3">
      <c r="B25" s="7" t="s">
        <v>70</v>
      </c>
      <c r="C25" s="8">
        <v>80</v>
      </c>
      <c r="D25"/>
    </row>
    <row r="26" spans="2:11" x14ac:dyDescent="0.3">
      <c r="B26" s="7" t="s">
        <v>182</v>
      </c>
      <c r="C26" s="8">
        <v>78</v>
      </c>
      <c r="D26"/>
    </row>
    <row r="27" spans="2:11" x14ac:dyDescent="0.3">
      <c r="B27" s="7" t="s">
        <v>214</v>
      </c>
      <c r="C27" s="8">
        <v>78</v>
      </c>
      <c r="D27"/>
    </row>
    <row r="28" spans="2:11" x14ac:dyDescent="0.3">
      <c r="B28" s="7" t="s">
        <v>166</v>
      </c>
      <c r="C28" s="8">
        <v>76</v>
      </c>
      <c r="D28"/>
    </row>
    <row r="29" spans="2:11" x14ac:dyDescent="0.3">
      <c r="B29" s="7" t="s">
        <v>172</v>
      </c>
      <c r="C29" s="8">
        <v>80</v>
      </c>
      <c r="D29"/>
    </row>
    <row r="30" spans="2:11" x14ac:dyDescent="0.3">
      <c r="B30" s="7" t="s">
        <v>68</v>
      </c>
      <c r="C30" s="8">
        <v>79</v>
      </c>
      <c r="D30"/>
    </row>
    <row r="31" spans="2:11" x14ac:dyDescent="0.3">
      <c r="B31" s="7" t="s">
        <v>154</v>
      </c>
      <c r="C31" s="8">
        <v>70</v>
      </c>
      <c r="D31"/>
    </row>
    <row r="32" spans="2:11" x14ac:dyDescent="0.3">
      <c r="B32" s="7" t="s">
        <v>241</v>
      </c>
      <c r="C32" s="8">
        <v>771</v>
      </c>
      <c r="D32"/>
    </row>
    <row r="33" spans="2:4" x14ac:dyDescent="0.3">
      <c r="B33"/>
      <c r="C33"/>
      <c r="D33"/>
    </row>
    <row r="34" spans="2:4" x14ac:dyDescent="0.3">
      <c r="B34"/>
      <c r="C34"/>
      <c r="D34"/>
    </row>
    <row r="35" spans="2:4" x14ac:dyDescent="0.3">
      <c r="B35"/>
      <c r="C35"/>
      <c r="D35"/>
    </row>
    <row r="36" spans="2:4" x14ac:dyDescent="0.3">
      <c r="B36"/>
      <c r="C36"/>
      <c r="D36"/>
    </row>
    <row r="37" spans="2:4" x14ac:dyDescent="0.3">
      <c r="B37"/>
      <c r="C37"/>
      <c r="D37"/>
    </row>
    <row r="38" spans="2:4" ht="25.8" x14ac:dyDescent="0.5">
      <c r="B38" s="9" t="s">
        <v>245</v>
      </c>
      <c r="C38"/>
      <c r="D38"/>
    </row>
    <row r="39" spans="2:4" x14ac:dyDescent="0.3">
      <c r="B39"/>
      <c r="C39"/>
    </row>
    <row r="40" spans="2:4" x14ac:dyDescent="0.3">
      <c r="B40" s="6" t="s">
        <v>1</v>
      </c>
      <c r="C40" t="s">
        <v>247</v>
      </c>
      <c r="D40"/>
    </row>
    <row r="41" spans="2:4" x14ac:dyDescent="0.3">
      <c r="B41" s="7" t="s">
        <v>131</v>
      </c>
      <c r="C41" s="14">
        <v>671500</v>
      </c>
      <c r="D41"/>
    </row>
    <row r="42" spans="2:4" x14ac:dyDescent="0.3">
      <c r="B42" s="7" t="s">
        <v>9</v>
      </c>
      <c r="C42" s="14">
        <v>1665000</v>
      </c>
      <c r="D42"/>
    </row>
    <row r="43" spans="2:4" x14ac:dyDescent="0.3">
      <c r="B43" s="7" t="s">
        <v>138</v>
      </c>
      <c r="C43" s="14">
        <v>1710000</v>
      </c>
      <c r="D43"/>
    </row>
    <row r="44" spans="2:4" x14ac:dyDescent="0.3">
      <c r="B44" s="7" t="s">
        <v>87</v>
      </c>
      <c r="C44" s="14">
        <v>850000</v>
      </c>
      <c r="D44"/>
    </row>
    <row r="45" spans="2:4" x14ac:dyDescent="0.3">
      <c r="B45" s="7" t="s">
        <v>194</v>
      </c>
      <c r="C45" s="14">
        <v>500000</v>
      </c>
      <c r="D45"/>
    </row>
    <row r="46" spans="2:4" x14ac:dyDescent="0.3">
      <c r="B46" s="7" t="s">
        <v>146</v>
      </c>
      <c r="C46" s="14">
        <v>560500</v>
      </c>
      <c r="D46"/>
    </row>
    <row r="47" spans="2:4" x14ac:dyDescent="0.3">
      <c r="B47" s="7" t="s">
        <v>172</v>
      </c>
      <c r="C47" s="14">
        <v>2240000</v>
      </c>
      <c r="D47"/>
    </row>
    <row r="48" spans="2:4" x14ac:dyDescent="0.3">
      <c r="B48" s="7" t="s">
        <v>53</v>
      </c>
      <c r="C48" s="14">
        <v>924000</v>
      </c>
      <c r="D48"/>
    </row>
    <row r="49" spans="2:4" x14ac:dyDescent="0.3">
      <c r="B49" s="7" t="s">
        <v>168</v>
      </c>
      <c r="C49" s="14">
        <v>1496000</v>
      </c>
      <c r="D49"/>
    </row>
    <row r="50" spans="2:4" x14ac:dyDescent="0.3">
      <c r="B50" s="7" t="s">
        <v>170</v>
      </c>
      <c r="C50" s="14">
        <v>1242000</v>
      </c>
      <c r="D50"/>
    </row>
    <row r="51" spans="2:4" x14ac:dyDescent="0.3">
      <c r="B51" s="7" t="s">
        <v>241</v>
      </c>
      <c r="C51" s="14">
        <v>11859000</v>
      </c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  <row r="57" spans="2:4" x14ac:dyDescent="0.3">
      <c r="B57"/>
      <c r="C57"/>
      <c r="D57"/>
    </row>
    <row r="58" spans="2:4" x14ac:dyDescent="0.3">
      <c r="B58"/>
      <c r="C58"/>
    </row>
    <row r="59" spans="2:4" x14ac:dyDescent="0.3">
      <c r="B59"/>
      <c r="C59"/>
    </row>
    <row r="60" spans="2:4" x14ac:dyDescent="0.3">
      <c r="B60"/>
      <c r="C60"/>
    </row>
    <row r="61" spans="2:4" x14ac:dyDescent="0.3">
      <c r="B61"/>
      <c r="C61"/>
    </row>
    <row r="62" spans="2:4" x14ac:dyDescent="0.3">
      <c r="B62"/>
      <c r="C62"/>
    </row>
    <row r="63" spans="2:4" x14ac:dyDescent="0.3">
      <c r="B63"/>
      <c r="C63"/>
    </row>
    <row r="64" spans="2:4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Inventory_Tracker</vt:lpstr>
      <vt:lpstr>Low_Stock_report</vt:lpstr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2026-10-19T07:54:21Z</dcterms:created>
  <dcterms:modified xsi:type="dcterms:W3CDTF">2026-10-19T09:02:25Z</dcterms:modified>
</cp:coreProperties>
</file>