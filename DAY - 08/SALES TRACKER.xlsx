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ummary" sheetId="2" r:id="rId6"/>
  </sheets>
  <definedNames>
    <definedName hidden="1" localSheetId="0" name="_xlnm._FilterDatabase">Raw_Data!$A$1:$I$1000</definedName>
  </definedNames>
  <calcPr/>
</workbook>
</file>

<file path=xl/sharedStrings.xml><?xml version="1.0" encoding="utf-8"?>
<sst xmlns="http://schemas.openxmlformats.org/spreadsheetml/2006/main" count="270" uniqueCount="87">
  <si>
    <t>Date</t>
  </si>
  <si>
    <t>Order_ID</t>
  </si>
  <si>
    <t>Product</t>
  </si>
  <si>
    <t>Category</t>
  </si>
  <si>
    <t>Quantity</t>
  </si>
  <si>
    <t>Unit_Price</t>
  </si>
  <si>
    <t>Sales_Amount</t>
  </si>
  <si>
    <t>Payment_Mode</t>
  </si>
  <si>
    <t>Salesperson</t>
  </si>
  <si>
    <t>ORD001</t>
  </si>
  <si>
    <t>Laptop</t>
  </si>
  <si>
    <t>Electronics</t>
  </si>
  <si>
    <t>UPI</t>
  </si>
  <si>
    <t>Pooja</t>
  </si>
  <si>
    <t>ORD002</t>
  </si>
  <si>
    <t>Mouse</t>
  </si>
  <si>
    <t>Accessories</t>
  </si>
  <si>
    <t>Cash</t>
  </si>
  <si>
    <t>Rahul</t>
  </si>
  <si>
    <t>ORD003</t>
  </si>
  <si>
    <t>Keyboard</t>
  </si>
  <si>
    <t>Card</t>
  </si>
  <si>
    <t>Sneha</t>
  </si>
  <si>
    <t>ORD004</t>
  </si>
  <si>
    <t>Monitor</t>
  </si>
  <si>
    <t>Arjun</t>
  </si>
  <si>
    <t>ORD005</t>
  </si>
  <si>
    <t>Headphones</t>
  </si>
  <si>
    <t>Kavya</t>
  </si>
  <si>
    <t>ORD006</t>
  </si>
  <si>
    <t>Vikram</t>
  </si>
  <si>
    <t>ORD007</t>
  </si>
  <si>
    <t>Meena</t>
  </si>
  <si>
    <t>ORD008</t>
  </si>
  <si>
    <t>Sanjay</t>
  </si>
  <si>
    <t>ORD009</t>
  </si>
  <si>
    <t>Divya</t>
  </si>
  <si>
    <t>ORD010</t>
  </si>
  <si>
    <t>Nikhil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</si>
  <si>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</si>
  <si>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</si>
  <si>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</si>
  <si>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</si>
  <si>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</si>
  <si>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</si>
  <si>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</si>
  <si>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</si>
  <si>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</si>
  <si>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</si>
  <si>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</si>
  <si>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</si>
  <si>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</si>
  <si>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</si>
  <si>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</si>
  <si>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</si>
  <si>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</si>
  <si>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</si>
  <si>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</si>
  <si>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</si>
  <si>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</si>
  <si>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</si>
  <si>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</si>
  <si>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</si>
  <si>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</si>
  <si>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</si>
  <si>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</si>
  <si>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</si>
  <si>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</si>
  <si>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</si>
  <si>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</si>
  <si>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</si>
  <si>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</si>
  <si>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</si>
  <si>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</si>
  <si>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</si>
  <si>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</si>
  <si>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</si>
  <si>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</si>
  <si>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</si>
  <si>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SALES TRACKER</t>
  </si>
  <si>
    <t>Today's Date</t>
  </si>
  <si>
    <t>Today's Sales</t>
  </si>
  <si>
    <t>Weekly Sales</t>
  </si>
  <si>
    <t>Monthly Sales</t>
  </si>
  <si>
    <t>Total Sales</t>
  </si>
  <si>
    <t>SALES BY CATEGORY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</si>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</sst>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+mn-lt"/>
              </a:defRPr>
            </a:pPr>
            <a:r>
              <a:rPr b="1">
                <a:solidFill>
                  <a:schemeClr val="accent2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Summary!$B$10:$B$11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Summary!$A$12:$A$13</c:f>
            </c:strRef>
          </c:cat>
          <c:val>
            <c:numRef>
              <c:f>Summary!$B$12:$B$13</c:f>
              <c:numCache/>
            </c:numRef>
          </c:val>
        </c:ser>
        <c:axId val="45297568"/>
        <c:axId val="1673558123"/>
      </c:barChart>
      <c:catAx>
        <c:axId val="4529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558123"/>
      </c:catAx>
      <c:valAx>
        <c:axId val="1673558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97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9</xdr:row>
      <xdr:rowOff>9525</xdr:rowOff>
    </xdr:from>
    <xdr:ext cx="4352925" cy="3228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46280.0</v>
      </c>
      <c r="B2" s="6" t="s">
        <v>9</v>
      </c>
      <c r="C2" s="6" t="s">
        <v>10</v>
      </c>
      <c r="D2" s="6" t="s">
        <v>11</v>
      </c>
      <c r="E2" s="6">
        <v>1.0</v>
      </c>
      <c r="F2" s="7">
        <v>55000.0</v>
      </c>
      <c r="G2" s="7">
        <v>55000.0</v>
      </c>
      <c r="H2" s="6" t="s">
        <v>12</v>
      </c>
      <c r="I2" s="6" t="s">
        <v>13</v>
      </c>
    </row>
    <row r="3">
      <c r="A3" s="5">
        <v>46280.0</v>
      </c>
      <c r="B3" s="6" t="s">
        <v>14</v>
      </c>
      <c r="C3" s="6" t="s">
        <v>15</v>
      </c>
      <c r="D3" s="6" t="s">
        <v>16</v>
      </c>
      <c r="E3" s="6">
        <v>2.0</v>
      </c>
      <c r="F3" s="7">
        <v>800.0</v>
      </c>
      <c r="G3" s="7">
        <v>1600.0</v>
      </c>
      <c r="H3" s="6" t="s">
        <v>17</v>
      </c>
      <c r="I3" s="6" t="s">
        <v>18</v>
      </c>
    </row>
    <row r="4">
      <c r="A4" s="5">
        <v>46280.0</v>
      </c>
      <c r="B4" s="6" t="s">
        <v>19</v>
      </c>
      <c r="C4" s="6" t="s">
        <v>20</v>
      </c>
      <c r="D4" s="6" t="s">
        <v>16</v>
      </c>
      <c r="E4" s="6">
        <v>1.0</v>
      </c>
      <c r="F4" s="7">
        <v>1500.0</v>
      </c>
      <c r="G4" s="7">
        <v>1500.0</v>
      </c>
      <c r="H4" s="6" t="s">
        <v>21</v>
      </c>
      <c r="I4" s="6" t="s">
        <v>22</v>
      </c>
    </row>
    <row r="5">
      <c r="A5" s="5">
        <v>46281.0</v>
      </c>
      <c r="B5" s="6" t="s">
        <v>23</v>
      </c>
      <c r="C5" s="6" t="s">
        <v>24</v>
      </c>
      <c r="D5" s="6" t="s">
        <v>11</v>
      </c>
      <c r="E5" s="6">
        <v>1.0</v>
      </c>
      <c r="F5" s="7">
        <v>12000.0</v>
      </c>
      <c r="G5" s="7">
        <v>12000.0</v>
      </c>
      <c r="H5" s="6" t="s">
        <v>12</v>
      </c>
      <c r="I5" s="6" t="s">
        <v>25</v>
      </c>
    </row>
    <row r="6">
      <c r="A6" s="5">
        <v>46281.0</v>
      </c>
      <c r="B6" s="6" t="s">
        <v>26</v>
      </c>
      <c r="C6" s="6" t="s">
        <v>27</v>
      </c>
      <c r="D6" s="6" t="s">
        <v>16</v>
      </c>
      <c r="E6" s="6">
        <v>2.0</v>
      </c>
      <c r="F6" s="7">
        <v>2000.0</v>
      </c>
      <c r="G6" s="7">
        <v>4000.0</v>
      </c>
      <c r="H6" s="6" t="s">
        <v>21</v>
      </c>
      <c r="I6" s="6" t="s">
        <v>28</v>
      </c>
    </row>
    <row r="7">
      <c r="A7" s="5">
        <v>46281.0</v>
      </c>
      <c r="B7" s="6" t="s">
        <v>29</v>
      </c>
      <c r="C7" s="6" t="s">
        <v>10</v>
      </c>
      <c r="D7" s="6" t="s">
        <v>11</v>
      </c>
      <c r="E7" s="6">
        <v>1.0</v>
      </c>
      <c r="F7" s="7">
        <v>58000.0</v>
      </c>
      <c r="G7" s="7">
        <v>58000.0</v>
      </c>
      <c r="H7" s="6" t="s">
        <v>12</v>
      </c>
      <c r="I7" s="6" t="s">
        <v>30</v>
      </c>
    </row>
    <row r="8">
      <c r="A8" s="5">
        <v>46282.0</v>
      </c>
      <c r="B8" s="6" t="s">
        <v>31</v>
      </c>
      <c r="C8" s="6" t="s">
        <v>15</v>
      </c>
      <c r="D8" s="6" t="s">
        <v>16</v>
      </c>
      <c r="E8" s="6">
        <v>3.0</v>
      </c>
      <c r="F8" s="7">
        <v>800.0</v>
      </c>
      <c r="G8" s="7">
        <v>2400.0</v>
      </c>
      <c r="H8" s="6" t="s">
        <v>17</v>
      </c>
      <c r="I8" s="6" t="s">
        <v>32</v>
      </c>
    </row>
    <row r="9">
      <c r="A9" s="5">
        <v>46282.0</v>
      </c>
      <c r="B9" s="6" t="s">
        <v>33</v>
      </c>
      <c r="C9" s="6" t="s">
        <v>24</v>
      </c>
      <c r="D9" s="6" t="s">
        <v>11</v>
      </c>
      <c r="E9" s="6">
        <v>2.0</v>
      </c>
      <c r="F9" s="7">
        <v>12500.0</v>
      </c>
      <c r="G9" s="7">
        <v>25000.0</v>
      </c>
      <c r="H9" s="6" t="s">
        <v>21</v>
      </c>
      <c r="I9" s="6" t="s">
        <v>34</v>
      </c>
    </row>
    <row r="10">
      <c r="A10" s="5">
        <v>46282.0</v>
      </c>
      <c r="B10" s="6" t="s">
        <v>35</v>
      </c>
      <c r="C10" s="6" t="s">
        <v>20</v>
      </c>
      <c r="D10" s="6" t="s">
        <v>16</v>
      </c>
      <c r="E10" s="6">
        <v>2.0</v>
      </c>
      <c r="F10" s="7">
        <v>1600.0</v>
      </c>
      <c r="G10" s="7">
        <v>3200.0</v>
      </c>
      <c r="H10" s="6" t="s">
        <v>12</v>
      </c>
      <c r="I10" s="6" t="s">
        <v>36</v>
      </c>
    </row>
    <row r="11">
      <c r="A11" s="5">
        <v>46283.0</v>
      </c>
      <c r="B11" s="6" t="s">
        <v>37</v>
      </c>
      <c r="C11" s="6" t="s">
        <v>10</v>
      </c>
      <c r="D11" s="6" t="s">
        <v>11</v>
      </c>
      <c r="E11" s="6">
        <v>1.0</v>
      </c>
      <c r="F11" s="7">
        <v>56000.0</v>
      </c>
      <c r="G11" s="7">
        <v>56000.0</v>
      </c>
      <c r="H11" s="6" t="s">
        <v>21</v>
      </c>
      <c r="I11" s="6" t="s">
        <v>38</v>
      </c>
    </row>
    <row r="12">
      <c r="A12" s="5">
        <v>46283.0</v>
      </c>
      <c r="B12" s="6" t="s">
        <v>39</v>
      </c>
      <c r="C12" s="6" t="s">
        <v>27</v>
      </c>
      <c r="D12" s="6" t="s">
        <v>16</v>
      </c>
      <c r="E12" s="6">
        <v>1.0</v>
      </c>
      <c r="F12" s="7">
        <v>2200.0</v>
      </c>
      <c r="G12" s="7">
        <v>2200.0</v>
      </c>
      <c r="H12" s="6" t="s">
        <v>12</v>
      </c>
      <c r="I12" s="6" t="s">
        <v>13</v>
      </c>
    </row>
    <row r="13">
      <c r="A13" s="5">
        <v>46283.0</v>
      </c>
      <c r="B13" s="6" t="s">
        <v>40</v>
      </c>
      <c r="C13" s="6" t="s">
        <v>15</v>
      </c>
      <c r="D13" s="6" t="s">
        <v>16</v>
      </c>
      <c r="E13" s="6">
        <v>4.0</v>
      </c>
      <c r="F13" s="7">
        <v>850.0</v>
      </c>
      <c r="G13" s="7">
        <v>3400.0</v>
      </c>
      <c r="H13" s="6" t="s">
        <v>17</v>
      </c>
      <c r="I13" s="6" t="s">
        <v>18</v>
      </c>
    </row>
    <row r="14">
      <c r="A14" s="5">
        <v>46284.0</v>
      </c>
      <c r="B14" s="6" t="s">
        <v>41</v>
      </c>
      <c r="C14" s="6" t="s">
        <v>24</v>
      </c>
      <c r="D14" s="6" t="s">
        <v>11</v>
      </c>
      <c r="E14" s="6">
        <v>1.0</v>
      </c>
      <c r="F14" s="7">
        <v>13000.0</v>
      </c>
      <c r="G14" s="7">
        <v>13000.0</v>
      </c>
      <c r="H14" s="6" t="s">
        <v>12</v>
      </c>
      <c r="I14" s="6" t="s">
        <v>22</v>
      </c>
    </row>
    <row r="15">
      <c r="A15" s="5">
        <v>46284.0</v>
      </c>
      <c r="B15" s="6" t="s">
        <v>42</v>
      </c>
      <c r="C15" s="6" t="s">
        <v>20</v>
      </c>
      <c r="D15" s="6" t="s">
        <v>16</v>
      </c>
      <c r="E15" s="6">
        <v>2.0</v>
      </c>
      <c r="F15" s="7">
        <v>1500.0</v>
      </c>
      <c r="G15" s="7">
        <v>3000.0</v>
      </c>
      <c r="H15" s="6" t="s">
        <v>21</v>
      </c>
      <c r="I15" s="6" t="s">
        <v>25</v>
      </c>
    </row>
    <row r="16">
      <c r="A16" s="5">
        <v>46284.0</v>
      </c>
      <c r="B16" s="6" t="s">
        <v>43</v>
      </c>
      <c r="C16" s="6" t="s">
        <v>10</v>
      </c>
      <c r="D16" s="6" t="s">
        <v>11</v>
      </c>
      <c r="E16" s="6">
        <v>1.0</v>
      </c>
      <c r="F16" s="7">
        <v>60000.0</v>
      </c>
      <c r="G16" s="7">
        <v>60000.0</v>
      </c>
      <c r="H16" s="6" t="s">
        <v>12</v>
      </c>
      <c r="I16" s="6" t="s">
        <v>28</v>
      </c>
    </row>
    <row r="17">
      <c r="A17" s="5">
        <v>46285.0</v>
      </c>
      <c r="B17" s="6" t="s">
        <v>44</v>
      </c>
      <c r="C17" s="6" t="s">
        <v>27</v>
      </c>
      <c r="D17" s="6" t="s">
        <v>16</v>
      </c>
      <c r="E17" s="6">
        <v>3.0</v>
      </c>
      <c r="F17" s="7">
        <v>2100.0</v>
      </c>
      <c r="G17" s="7">
        <v>6300.0</v>
      </c>
      <c r="H17" s="6" t="s">
        <v>17</v>
      </c>
      <c r="I17" s="6" t="s">
        <v>30</v>
      </c>
    </row>
    <row r="18">
      <c r="A18" s="5">
        <v>46285.0</v>
      </c>
      <c r="B18" s="6" t="s">
        <v>45</v>
      </c>
      <c r="C18" s="6" t="s">
        <v>15</v>
      </c>
      <c r="D18" s="6" t="s">
        <v>16</v>
      </c>
      <c r="E18" s="6">
        <v>2.0</v>
      </c>
      <c r="F18" s="7">
        <v>900.0</v>
      </c>
      <c r="G18" s="7">
        <v>1800.0</v>
      </c>
      <c r="H18" s="6" t="s">
        <v>21</v>
      </c>
      <c r="I18" s="6" t="s">
        <v>32</v>
      </c>
    </row>
    <row r="19">
      <c r="A19" s="5">
        <v>46285.0</v>
      </c>
      <c r="B19" s="6" t="s">
        <v>46</v>
      </c>
      <c r="C19" s="6" t="s">
        <v>24</v>
      </c>
      <c r="D19" s="6" t="s">
        <v>11</v>
      </c>
      <c r="E19" s="6">
        <v>1.0</v>
      </c>
      <c r="F19" s="7">
        <v>12000.0</v>
      </c>
      <c r="G19" s="7">
        <v>12000.0</v>
      </c>
      <c r="H19" s="6" t="s">
        <v>12</v>
      </c>
      <c r="I19" s="6" t="s">
        <v>34</v>
      </c>
    </row>
    <row r="20">
      <c r="A20" s="5">
        <v>46286.0</v>
      </c>
      <c r="B20" s="6" t="s">
        <v>47</v>
      </c>
      <c r="C20" s="6" t="s">
        <v>10</v>
      </c>
      <c r="D20" s="6" t="s">
        <v>11</v>
      </c>
      <c r="E20" s="6">
        <v>1.0</v>
      </c>
      <c r="F20" s="7">
        <v>57000.0</v>
      </c>
      <c r="G20" s="7">
        <v>57000.0</v>
      </c>
      <c r="H20" s="6" t="s">
        <v>21</v>
      </c>
      <c r="I20" s="6" t="s">
        <v>36</v>
      </c>
    </row>
    <row r="21">
      <c r="A21" s="5">
        <v>46286.0</v>
      </c>
      <c r="B21" s="6" t="s">
        <v>48</v>
      </c>
      <c r="C21" s="6" t="s">
        <v>20</v>
      </c>
      <c r="D21" s="6" t="s">
        <v>16</v>
      </c>
      <c r="E21" s="6">
        <v>3.0</v>
      </c>
      <c r="F21" s="7">
        <v>1600.0</v>
      </c>
      <c r="G21" s="7">
        <v>4800.0</v>
      </c>
      <c r="H21" s="6" t="s">
        <v>12</v>
      </c>
      <c r="I21" s="6" t="s">
        <v>38</v>
      </c>
    </row>
    <row r="22">
      <c r="A22" s="5">
        <v>46286.0</v>
      </c>
      <c r="B22" s="6" t="s">
        <v>49</v>
      </c>
      <c r="C22" s="6" t="s">
        <v>15</v>
      </c>
      <c r="D22" s="6" t="s">
        <v>16</v>
      </c>
      <c r="E22" s="6">
        <v>5.0</v>
      </c>
      <c r="F22" s="7">
        <v>800.0</v>
      </c>
      <c r="G22" s="7">
        <v>4000.0</v>
      </c>
      <c r="H22" s="6" t="s">
        <v>17</v>
      </c>
      <c r="I22" s="6" t="s">
        <v>13</v>
      </c>
    </row>
    <row r="23">
      <c r="A23" s="5">
        <v>46287.0</v>
      </c>
      <c r="B23" s="6" t="s">
        <v>50</v>
      </c>
      <c r="C23" s="6" t="s">
        <v>24</v>
      </c>
      <c r="D23" s="6" t="s">
        <v>11</v>
      </c>
      <c r="E23" s="6">
        <v>2.0</v>
      </c>
      <c r="F23" s="7">
        <v>12500.0</v>
      </c>
      <c r="G23" s="7">
        <v>25000.0</v>
      </c>
      <c r="H23" s="6" t="s">
        <v>12</v>
      </c>
      <c r="I23" s="6" t="s">
        <v>18</v>
      </c>
    </row>
    <row r="24">
      <c r="A24" s="5">
        <v>46287.0</v>
      </c>
      <c r="B24" s="6" t="s">
        <v>51</v>
      </c>
      <c r="C24" s="6" t="s">
        <v>27</v>
      </c>
      <c r="D24" s="6" t="s">
        <v>16</v>
      </c>
      <c r="E24" s="6">
        <v>2.0</v>
      </c>
      <c r="F24" s="7">
        <v>2300.0</v>
      </c>
      <c r="G24" s="7">
        <v>4600.0</v>
      </c>
      <c r="H24" s="6" t="s">
        <v>21</v>
      </c>
      <c r="I24" s="6" t="s">
        <v>22</v>
      </c>
    </row>
    <row r="25">
      <c r="A25" s="5">
        <v>46287.0</v>
      </c>
      <c r="B25" s="6" t="s">
        <v>52</v>
      </c>
      <c r="C25" s="6" t="s">
        <v>10</v>
      </c>
      <c r="D25" s="6" t="s">
        <v>11</v>
      </c>
      <c r="E25" s="6">
        <v>1.0</v>
      </c>
      <c r="F25" s="7">
        <v>59000.0</v>
      </c>
      <c r="G25" s="7">
        <v>59000.0</v>
      </c>
      <c r="H25" s="6" t="s">
        <v>12</v>
      </c>
      <c r="I25" s="6" t="s">
        <v>25</v>
      </c>
    </row>
    <row r="26">
      <c r="A26" s="5">
        <v>46288.0</v>
      </c>
      <c r="B26" s="6" t="s">
        <v>53</v>
      </c>
      <c r="C26" s="6" t="s">
        <v>20</v>
      </c>
      <c r="D26" s="6" t="s">
        <v>16</v>
      </c>
      <c r="E26" s="6">
        <v>1.0</v>
      </c>
      <c r="F26" s="7">
        <v>1700.0</v>
      </c>
      <c r="G26" s="7">
        <v>1700.0</v>
      </c>
      <c r="H26" s="6" t="s">
        <v>17</v>
      </c>
      <c r="I26" s="6" t="s">
        <v>28</v>
      </c>
    </row>
    <row r="27">
      <c r="A27" s="5">
        <v>46288.0</v>
      </c>
      <c r="B27" s="6" t="s">
        <v>54</v>
      </c>
      <c r="C27" s="6" t="s">
        <v>15</v>
      </c>
      <c r="D27" s="6" t="s">
        <v>16</v>
      </c>
      <c r="E27" s="6">
        <v>3.0</v>
      </c>
      <c r="F27" s="7">
        <v>850.0</v>
      </c>
      <c r="G27" s="7">
        <v>2550.0</v>
      </c>
      <c r="H27" s="6" t="s">
        <v>21</v>
      </c>
      <c r="I27" s="6" t="s">
        <v>30</v>
      </c>
    </row>
    <row r="28">
      <c r="A28" s="5">
        <v>46288.0</v>
      </c>
      <c r="B28" s="6" t="s">
        <v>55</v>
      </c>
      <c r="C28" s="6" t="s">
        <v>24</v>
      </c>
      <c r="D28" s="6" t="s">
        <v>11</v>
      </c>
      <c r="E28" s="6">
        <v>1.0</v>
      </c>
      <c r="F28" s="7">
        <v>12800.0</v>
      </c>
      <c r="G28" s="7">
        <v>12800.0</v>
      </c>
      <c r="H28" s="6" t="s">
        <v>12</v>
      </c>
      <c r="I28" s="6" t="s">
        <v>32</v>
      </c>
    </row>
    <row r="29">
      <c r="A29" s="5">
        <v>46289.0</v>
      </c>
      <c r="B29" s="6" t="s">
        <v>56</v>
      </c>
      <c r="C29" s="6" t="s">
        <v>10</v>
      </c>
      <c r="D29" s="6" t="s">
        <v>11</v>
      </c>
      <c r="E29" s="6">
        <v>1.0</v>
      </c>
      <c r="F29" s="7">
        <v>61000.0</v>
      </c>
      <c r="G29" s="7">
        <v>61000.0</v>
      </c>
      <c r="H29" s="6" t="s">
        <v>21</v>
      </c>
      <c r="I29" s="6" t="s">
        <v>34</v>
      </c>
    </row>
    <row r="30">
      <c r="A30" s="5">
        <v>46289.0</v>
      </c>
      <c r="B30" s="6" t="s">
        <v>57</v>
      </c>
      <c r="C30" s="6" t="s">
        <v>27</v>
      </c>
      <c r="D30" s="6" t="s">
        <v>16</v>
      </c>
      <c r="E30" s="6">
        <v>2.0</v>
      </c>
      <c r="F30" s="7">
        <v>2400.0</v>
      </c>
      <c r="G30" s="7">
        <v>4800.0</v>
      </c>
      <c r="H30" s="6" t="s">
        <v>12</v>
      </c>
      <c r="I30" s="6" t="s">
        <v>36</v>
      </c>
    </row>
    <row r="31">
      <c r="A31" s="5">
        <v>46289.0</v>
      </c>
      <c r="B31" s="6" t="s">
        <v>58</v>
      </c>
      <c r="C31" s="6" t="s">
        <v>20</v>
      </c>
      <c r="D31" s="6" t="s">
        <v>16</v>
      </c>
      <c r="E31" s="6">
        <v>2.0</v>
      </c>
      <c r="F31" s="7">
        <v>1550.0</v>
      </c>
      <c r="G31" s="7">
        <v>3100.0</v>
      </c>
      <c r="H31" s="6" t="s">
        <v>17</v>
      </c>
      <c r="I31" s="6" t="s">
        <v>38</v>
      </c>
    </row>
    <row r="32">
      <c r="A32" s="5">
        <v>46290.0</v>
      </c>
      <c r="B32" s="6" t="s">
        <v>59</v>
      </c>
      <c r="C32" s="6" t="s">
        <v>24</v>
      </c>
      <c r="D32" s="6" t="s">
        <v>11</v>
      </c>
      <c r="E32" s="6">
        <v>1.0</v>
      </c>
      <c r="F32" s="7">
        <v>13200.0</v>
      </c>
      <c r="G32" s="7">
        <v>13200.0</v>
      </c>
      <c r="H32" s="6" t="s">
        <v>12</v>
      </c>
      <c r="I32" s="6" t="s">
        <v>13</v>
      </c>
    </row>
    <row r="33">
      <c r="A33" s="5">
        <v>46290.0</v>
      </c>
      <c r="B33" s="6" t="s">
        <v>60</v>
      </c>
      <c r="C33" s="6" t="s">
        <v>15</v>
      </c>
      <c r="D33" s="6" t="s">
        <v>16</v>
      </c>
      <c r="E33" s="6">
        <v>4.0</v>
      </c>
      <c r="F33" s="7">
        <v>820.0</v>
      </c>
      <c r="G33" s="7">
        <v>3280.0</v>
      </c>
      <c r="H33" s="6" t="s">
        <v>21</v>
      </c>
      <c r="I33" s="6" t="s">
        <v>18</v>
      </c>
    </row>
    <row r="34">
      <c r="A34" s="5">
        <v>46290.0</v>
      </c>
      <c r="B34" s="6" t="s">
        <v>61</v>
      </c>
      <c r="C34" s="6" t="s">
        <v>10</v>
      </c>
      <c r="D34" s="6" t="s">
        <v>11</v>
      </c>
      <c r="E34" s="6">
        <v>1.0</v>
      </c>
      <c r="F34" s="7">
        <v>57500.0</v>
      </c>
      <c r="G34" s="7">
        <v>57500.0</v>
      </c>
      <c r="H34" s="6" t="s">
        <v>12</v>
      </c>
      <c r="I34" s="6" t="s">
        <v>22</v>
      </c>
    </row>
    <row r="35">
      <c r="A35" s="5">
        <v>46291.0</v>
      </c>
      <c r="B35" s="6" t="s">
        <v>62</v>
      </c>
      <c r="C35" s="6" t="s">
        <v>27</v>
      </c>
      <c r="D35" s="6" t="s">
        <v>16</v>
      </c>
      <c r="E35" s="6">
        <v>1.0</v>
      </c>
      <c r="F35" s="7">
        <v>2500.0</v>
      </c>
      <c r="G35" s="7">
        <v>2500.0</v>
      </c>
      <c r="H35" s="6" t="s">
        <v>17</v>
      </c>
      <c r="I35" s="6" t="s">
        <v>25</v>
      </c>
    </row>
    <row r="36">
      <c r="A36" s="5">
        <v>46291.0</v>
      </c>
      <c r="B36" s="6" t="s">
        <v>63</v>
      </c>
      <c r="C36" s="6" t="s">
        <v>20</v>
      </c>
      <c r="D36" s="6" t="s">
        <v>16</v>
      </c>
      <c r="E36" s="6">
        <v>3.0</v>
      </c>
      <c r="F36" s="7">
        <v>1650.0</v>
      </c>
      <c r="G36" s="7">
        <v>4950.0</v>
      </c>
      <c r="H36" s="6" t="s">
        <v>21</v>
      </c>
      <c r="I36" s="6" t="s">
        <v>28</v>
      </c>
    </row>
    <row r="37">
      <c r="A37" s="5">
        <v>46291.0</v>
      </c>
      <c r="B37" s="6" t="s">
        <v>64</v>
      </c>
      <c r="C37" s="6" t="s">
        <v>24</v>
      </c>
      <c r="D37" s="6" t="s">
        <v>11</v>
      </c>
      <c r="E37" s="6">
        <v>2.0</v>
      </c>
      <c r="F37" s="7">
        <v>12750.0</v>
      </c>
      <c r="G37" s="7">
        <v>25500.0</v>
      </c>
      <c r="H37" s="6" t="s">
        <v>12</v>
      </c>
      <c r="I37" s="6" t="s">
        <v>30</v>
      </c>
    </row>
    <row r="38">
      <c r="A38" s="5">
        <v>46292.0</v>
      </c>
      <c r="B38" s="6" t="s">
        <v>65</v>
      </c>
      <c r="C38" s="6" t="s">
        <v>10</v>
      </c>
      <c r="D38" s="6" t="s">
        <v>11</v>
      </c>
      <c r="E38" s="6">
        <v>1.0</v>
      </c>
      <c r="F38" s="7">
        <v>58500.0</v>
      </c>
      <c r="G38" s="7">
        <v>58500.0</v>
      </c>
      <c r="H38" s="6" t="s">
        <v>12</v>
      </c>
      <c r="I38" s="6" t="s">
        <v>32</v>
      </c>
    </row>
    <row r="39">
      <c r="A39" s="5">
        <v>46292.0</v>
      </c>
      <c r="B39" s="6" t="s">
        <v>66</v>
      </c>
      <c r="C39" s="6" t="s">
        <v>15</v>
      </c>
      <c r="D39" s="6" t="s">
        <v>16</v>
      </c>
      <c r="E39" s="6">
        <v>2.0</v>
      </c>
      <c r="F39" s="7">
        <v>850.0</v>
      </c>
      <c r="G39" s="7">
        <v>1700.0</v>
      </c>
      <c r="H39" s="6" t="s">
        <v>17</v>
      </c>
      <c r="I39" s="6" t="s">
        <v>34</v>
      </c>
    </row>
    <row r="40">
      <c r="A40" s="5">
        <v>46292.0</v>
      </c>
      <c r="B40" s="6" t="s">
        <v>67</v>
      </c>
      <c r="C40" s="6" t="s">
        <v>27</v>
      </c>
      <c r="D40" s="6" t="s">
        <v>16</v>
      </c>
      <c r="E40" s="6">
        <v>2.0</v>
      </c>
      <c r="F40" s="7">
        <v>2300.0</v>
      </c>
      <c r="G40" s="7">
        <v>4600.0</v>
      </c>
      <c r="H40" s="6" t="s">
        <v>21</v>
      </c>
      <c r="I40" s="6" t="s">
        <v>36</v>
      </c>
    </row>
    <row r="41">
      <c r="A41" s="5">
        <v>46293.0</v>
      </c>
      <c r="B41" s="6" t="s">
        <v>68</v>
      </c>
      <c r="C41" s="6" t="s">
        <v>24</v>
      </c>
      <c r="D41" s="6" t="s">
        <v>11</v>
      </c>
      <c r="E41" s="6">
        <v>1.0</v>
      </c>
      <c r="F41" s="7">
        <v>12900.0</v>
      </c>
      <c r="G41" s="7">
        <v>12900.0</v>
      </c>
      <c r="H41" s="6" t="s">
        <v>12</v>
      </c>
      <c r="I41" s="6" t="s">
        <v>38</v>
      </c>
    </row>
    <row r="42">
      <c r="A42" s="5">
        <v>46293.0</v>
      </c>
      <c r="B42" s="6" t="s">
        <v>69</v>
      </c>
      <c r="C42" s="6" t="s">
        <v>20</v>
      </c>
      <c r="D42" s="6" t="s">
        <v>16</v>
      </c>
      <c r="E42" s="6">
        <v>2.0</v>
      </c>
      <c r="F42" s="7">
        <v>1600.0</v>
      </c>
      <c r="G42" s="7">
        <v>3200.0</v>
      </c>
      <c r="H42" s="6" t="s">
        <v>21</v>
      </c>
      <c r="I42" s="6" t="s">
        <v>13</v>
      </c>
    </row>
    <row r="43">
      <c r="A43" s="5">
        <v>46293.0</v>
      </c>
      <c r="B43" s="6" t="s">
        <v>70</v>
      </c>
      <c r="C43" s="6" t="s">
        <v>10</v>
      </c>
      <c r="D43" s="6" t="s">
        <v>11</v>
      </c>
      <c r="E43" s="6">
        <v>1.0</v>
      </c>
      <c r="F43" s="7">
        <v>60500.0</v>
      </c>
      <c r="G43" s="7">
        <v>60500.0</v>
      </c>
      <c r="H43" s="6" t="s">
        <v>12</v>
      </c>
      <c r="I43" s="6" t="s">
        <v>18</v>
      </c>
    </row>
    <row r="44">
      <c r="A44" s="5">
        <v>46294.0</v>
      </c>
      <c r="B44" s="6" t="s">
        <v>71</v>
      </c>
      <c r="C44" s="6" t="s">
        <v>15</v>
      </c>
      <c r="D44" s="6" t="s">
        <v>16</v>
      </c>
      <c r="E44" s="6">
        <v>5.0</v>
      </c>
      <c r="F44" s="7">
        <v>800.0</v>
      </c>
      <c r="G44" s="7">
        <v>4000.0</v>
      </c>
      <c r="H44" s="6" t="s">
        <v>17</v>
      </c>
      <c r="I44" s="6" t="s">
        <v>22</v>
      </c>
    </row>
    <row r="45">
      <c r="A45" s="5">
        <v>46294.0</v>
      </c>
      <c r="B45" s="6" t="s">
        <v>72</v>
      </c>
      <c r="C45" s="6" t="s">
        <v>24</v>
      </c>
      <c r="D45" s="6" t="s">
        <v>11</v>
      </c>
      <c r="E45" s="6">
        <v>1.0</v>
      </c>
      <c r="F45" s="7">
        <v>13100.0</v>
      </c>
      <c r="G45" s="7">
        <v>13100.0</v>
      </c>
      <c r="H45" s="6" t="s">
        <v>21</v>
      </c>
      <c r="I45" s="6" t="s">
        <v>25</v>
      </c>
    </row>
    <row r="46">
      <c r="A46" s="5">
        <v>46294.0</v>
      </c>
      <c r="B46" s="6" t="s">
        <v>73</v>
      </c>
      <c r="C46" s="6" t="s">
        <v>27</v>
      </c>
      <c r="D46" s="6" t="s">
        <v>16</v>
      </c>
      <c r="E46" s="6">
        <v>2.0</v>
      </c>
      <c r="F46" s="7">
        <v>2200.0</v>
      </c>
      <c r="G46" s="7">
        <v>4400.0</v>
      </c>
      <c r="H46" s="6" t="s">
        <v>12</v>
      </c>
      <c r="I46" s="6" t="s">
        <v>28</v>
      </c>
    </row>
    <row r="47">
      <c r="A47" s="5">
        <v>46295.0</v>
      </c>
      <c r="B47" s="6" t="s">
        <v>74</v>
      </c>
      <c r="C47" s="6" t="s">
        <v>10</v>
      </c>
      <c r="D47" s="6" t="s">
        <v>11</v>
      </c>
      <c r="E47" s="6">
        <v>1.0</v>
      </c>
      <c r="F47" s="7">
        <v>59500.0</v>
      </c>
      <c r="G47" s="7">
        <v>59500.0</v>
      </c>
      <c r="H47" s="6" t="s">
        <v>12</v>
      </c>
      <c r="I47" s="6" t="s">
        <v>30</v>
      </c>
    </row>
    <row r="48">
      <c r="A48" s="5">
        <v>46295.0</v>
      </c>
      <c r="B48" s="6" t="s">
        <v>75</v>
      </c>
      <c r="C48" s="6" t="s">
        <v>20</v>
      </c>
      <c r="D48" s="6" t="s">
        <v>16</v>
      </c>
      <c r="E48" s="6">
        <v>3.0</v>
      </c>
      <c r="F48" s="7">
        <v>1550.0</v>
      </c>
      <c r="G48" s="7">
        <v>4650.0</v>
      </c>
      <c r="H48" s="6" t="s">
        <v>17</v>
      </c>
      <c r="I48" s="6" t="s">
        <v>32</v>
      </c>
    </row>
    <row r="49">
      <c r="A49" s="5">
        <v>46295.0</v>
      </c>
      <c r="B49" s="6" t="s">
        <v>76</v>
      </c>
      <c r="C49" s="6" t="s">
        <v>24</v>
      </c>
      <c r="D49" s="6" t="s">
        <v>11</v>
      </c>
      <c r="E49" s="6">
        <v>2.0</v>
      </c>
      <c r="F49" s="7">
        <v>12600.0</v>
      </c>
      <c r="G49" s="7">
        <v>25200.0</v>
      </c>
      <c r="H49" s="6" t="s">
        <v>21</v>
      </c>
      <c r="I49" s="6" t="s">
        <v>34</v>
      </c>
    </row>
    <row r="50">
      <c r="A50" s="5">
        <v>46295.0</v>
      </c>
      <c r="B50" s="6" t="s">
        <v>77</v>
      </c>
      <c r="C50" s="6" t="s">
        <v>15</v>
      </c>
      <c r="D50" s="6" t="s">
        <v>16</v>
      </c>
      <c r="E50" s="6">
        <v>4.0</v>
      </c>
      <c r="F50" s="7">
        <v>850.0</v>
      </c>
      <c r="G50" s="7">
        <v>3400.0</v>
      </c>
      <c r="H50" s="6" t="s">
        <v>12</v>
      </c>
      <c r="I50" s="6" t="s">
        <v>36</v>
      </c>
    </row>
    <row r="51">
      <c r="A51" s="5">
        <v>46295.0</v>
      </c>
      <c r="B51" s="6" t="s">
        <v>78</v>
      </c>
      <c r="C51" s="6" t="s">
        <v>27</v>
      </c>
      <c r="D51" s="6" t="s">
        <v>16</v>
      </c>
      <c r="E51" s="6">
        <v>1.0</v>
      </c>
      <c r="F51" s="7">
        <v>2450.0</v>
      </c>
      <c r="G51" s="7">
        <v>2450.0</v>
      </c>
      <c r="H51" s="6" t="s">
        <v>21</v>
      </c>
      <c r="I51" s="6" t="s">
        <v>38</v>
      </c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I$1000"/>
  <dataValidations>
    <dataValidation type="list" allowBlank="1" showErrorMessage="1" sqref="H2:H51">
      <formula1>"Card,Cash,UPI"</formula1>
    </dataValidation>
    <dataValidation type="list" allowBlank="1" showErrorMessage="1" sqref="D2:D51">
      <formula1>"Accessories,Electronics"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" t="s">
        <v>79</v>
      </c>
    </row>
    <row r="3">
      <c r="A3" s="6" t="s">
        <v>80</v>
      </c>
      <c r="B3" s="8">
        <f>TODAY()</f>
        <v>46292</v>
      </c>
    </row>
    <row r="4">
      <c r="A4" s="6" t="s">
        <v>81</v>
      </c>
      <c r="B4" s="9">
        <f>SUMIFS(Raw_Data!G2:G51,Raw_Data!A2:A51,B3)</f>
        <v>64800</v>
      </c>
    </row>
    <row r="5">
      <c r="A5" s="6" t="s">
        <v>82</v>
      </c>
      <c r="B5" s="9">
        <f>SUMIFS(Raw_Data!G2:G51,Raw_Data!A2:A51,"&gt;="&amp;B3-WEEKDAY(B3,2)+1,Raw_Data!A2:A51,"&lt;="&amp;B3)</f>
        <v>412080</v>
      </c>
    </row>
    <row r="6">
      <c r="A6" s="6" t="s">
        <v>83</v>
      </c>
      <c r="B6" s="9">
        <f>SUMIFS(Raw_Data!G2:G51,Raw_Data!A2:A51,"&gt;="&amp;EOMONTH(B3,-1)+1,Raw_Data!A2:A51,"&lt;="&amp;EOMONTH(B3,0))</f>
        <v>925780</v>
      </c>
    </row>
    <row r="7">
      <c r="A7" s="6" t="s">
        <v>84</v>
      </c>
      <c r="B7" s="10">
        <f>SUM(Raw_Data!G2:G51)</f>
        <v>925780</v>
      </c>
    </row>
    <row r="10">
      <c r="A10" s="2" t="s">
        <v>85</v>
      </c>
    </row>
    <row r="11">
      <c r="A11" s="11" t="s">
        <v>3</v>
      </c>
      <c r="B11" s="11" t="s">
        <v>86</v>
      </c>
    </row>
    <row r="12">
      <c r="A12" s="6" t="s">
        <v>11</v>
      </c>
      <c r="B12" s="10">
        <f>SUMIF(Raw_Data!D2:D51,A12,Raw_Data!G2:G51)</f>
        <v>831700</v>
      </c>
    </row>
    <row r="13">
      <c r="A13" s="6" t="s">
        <v>16</v>
      </c>
      <c r="B13" s="10">
        <f>SUMIF(Raw_Data!D3:D52,A13,Raw_Data!G3:G52)</f>
        <v>94080</v>
      </c>
    </row>
  </sheetData>
  <drawing r:id="rId1"/>
</worksheet>
</file>